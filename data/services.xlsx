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lab\BOG\Development\Planning\"/>
    </mc:Choice>
  </mc:AlternateContent>
  <xr:revisionPtr revIDLastSave="0" documentId="13_ncr:1_{76F1AFA8-B66C-48C5-AA57-CA06A1CA10DE}" xr6:coauthVersionLast="47" xr6:coauthVersionMax="47" xr10:uidLastSave="{00000000-0000-0000-0000-000000000000}"/>
  <bookViews>
    <workbookView xWindow="-110" yWindow="-110" windowWidth="30940" windowHeight="18700" xr2:uid="{C37F5707-FC9A-4D20-812A-BD8EA0D9D2E5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" l="1"/>
  <c r="L26" i="1"/>
  <c r="L2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40" i="1"/>
  <c r="K40" i="1"/>
  <c r="J40" i="1"/>
  <c r="I40" i="1"/>
  <c r="H40" i="1"/>
  <c r="G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3" i="1"/>
  <c r="M10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12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1" i="1"/>
  <c r="K10" i="1"/>
  <c r="J10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J3" i="1"/>
  <c r="K3" i="1"/>
  <c r="G3" i="1"/>
  <c r="I3" i="1"/>
  <c r="H3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55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10" i="1"/>
  <c r="F3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L40" i="1"/>
  <c r="E72" i="1"/>
  <c r="L68" i="1"/>
  <c r="L37" i="1"/>
  <c r="L34" i="1"/>
  <c r="L14" i="1"/>
  <c r="L12" i="1"/>
  <c r="L11" i="1"/>
  <c r="L10" i="1"/>
  <c r="L60" i="1"/>
  <c r="L39" i="1"/>
  <c r="L36" i="1"/>
  <c r="L28" i="1"/>
  <c r="L17" i="1"/>
  <c r="L13" i="1"/>
  <c r="L67" i="1"/>
  <c r="L66" i="1"/>
  <c r="L65" i="1"/>
  <c r="L64" i="1"/>
  <c r="L63" i="1"/>
  <c r="L62" i="1"/>
  <c r="L55" i="1"/>
  <c r="L38" i="1"/>
  <c r="L35" i="1"/>
  <c r="L25" i="1"/>
  <c r="L22" i="1"/>
  <c r="L16" i="1"/>
  <c r="L15" i="1"/>
  <c r="L71" i="1"/>
  <c r="L70" i="1"/>
  <c r="L69" i="1"/>
  <c r="L61" i="1"/>
  <c r="L59" i="1"/>
  <c r="L58" i="1"/>
  <c r="L57" i="1"/>
  <c r="L56" i="1"/>
  <c r="L33" i="1"/>
  <c r="L32" i="1"/>
  <c r="L31" i="1"/>
  <c r="L30" i="1"/>
  <c r="L29" i="1"/>
  <c r="L27" i="1"/>
  <c r="L24" i="1"/>
  <c r="L21" i="1"/>
  <c r="L20" i="1"/>
  <c r="L19" i="1"/>
  <c r="L18" i="1"/>
  <c r="L3" i="1"/>
  <c r="L72" i="1" l="1"/>
  <c r="L76" i="1" s="1"/>
  <c r="G72" i="1"/>
  <c r="F72" i="1"/>
  <c r="E76" i="1"/>
  <c r="C40" i="1" l="1"/>
  <c r="C61" i="1"/>
  <c r="C62" i="1"/>
  <c r="B10" i="1"/>
  <c r="B28" i="1"/>
  <c r="B29" i="1"/>
  <c r="B23" i="1"/>
  <c r="B14" i="1"/>
  <c r="B26" i="1"/>
  <c r="B15" i="1"/>
  <c r="B37" i="1"/>
  <c r="B20" i="1"/>
  <c r="B61" i="1"/>
  <c r="B17" i="1"/>
  <c r="B19" i="1"/>
  <c r="B13" i="1"/>
  <c r="B16" i="1"/>
  <c r="B60" i="1"/>
  <c r="B32" i="1"/>
  <c r="B52" i="1"/>
  <c r="B49" i="1"/>
  <c r="B41" i="1"/>
  <c r="B50" i="1"/>
  <c r="B42" i="1"/>
  <c r="B54" i="1"/>
  <c r="B47" i="1"/>
  <c r="B45" i="1"/>
  <c r="B40" i="1"/>
  <c r="B43" i="1"/>
  <c r="B34" i="1"/>
  <c r="B39" i="1"/>
  <c r="B22" i="1"/>
  <c r="B67" i="1"/>
  <c r="B64" i="1"/>
  <c r="B65" i="1"/>
  <c r="B30" i="1"/>
  <c r="B63" i="1"/>
  <c r="B31" i="1"/>
  <c r="B62" i="1"/>
  <c r="B66" i="1"/>
  <c r="B24" i="1"/>
  <c r="B25" i="1"/>
  <c r="B35" i="1"/>
  <c r="B38" i="1"/>
  <c r="B44" i="1"/>
  <c r="B51" i="1"/>
  <c r="B46" i="1"/>
  <c r="B55" i="1"/>
  <c r="B11" i="1"/>
  <c r="B36" i="1"/>
  <c r="B12" i="1"/>
</calcChain>
</file>

<file path=xl/sharedStrings.xml><?xml version="1.0" encoding="utf-8"?>
<sst xmlns="http://schemas.openxmlformats.org/spreadsheetml/2006/main" count="138" uniqueCount="97">
  <si>
    <t>اسم الخدمة المستقبلي</t>
  </si>
  <si>
    <t>الاستعلام عن الدعاوى</t>
  </si>
  <si>
    <t>الفهارس العامة</t>
  </si>
  <si>
    <t>إدارة الصلاحيات</t>
  </si>
  <si>
    <t>الإشعارات والتنبيهات</t>
  </si>
  <si>
    <t>إعداد الأحكام</t>
  </si>
  <si>
    <t>الاستعلام عن الأحكام</t>
  </si>
  <si>
    <t>البحث المتقدم</t>
  </si>
  <si>
    <t>الملف الموحد المستخدم</t>
  </si>
  <si>
    <t>إدارة المستخدمين</t>
  </si>
  <si>
    <t>تسجيل الدخول</t>
  </si>
  <si>
    <t>محاضر الجلسات</t>
  </si>
  <si>
    <t>الاستعلام عن الجلسات</t>
  </si>
  <si>
    <t>إحالة الدعاوى</t>
  </si>
  <si>
    <t>تبادل المذكرات</t>
  </si>
  <si>
    <t>تفويض المستخدمين</t>
  </si>
  <si>
    <t>توزيع الدعاوى على أعضاء الدائرة</t>
  </si>
  <si>
    <t>طلبات الاعتراض</t>
  </si>
  <si>
    <t>اثبات الحضور</t>
  </si>
  <si>
    <t>الاستعلام عن التبليغات</t>
  </si>
  <si>
    <t>التبليغ الإلكتروني</t>
  </si>
  <si>
    <t>التحقق من صحة الوثائق</t>
  </si>
  <si>
    <t>التسجيل لأول مرة</t>
  </si>
  <si>
    <t>العرض المرئي للجلسات القضائية المسجلة</t>
  </si>
  <si>
    <t>إدارة الجلسات القضائية</t>
  </si>
  <si>
    <t>حضور الجلسات</t>
  </si>
  <si>
    <t>طلب التظلم من عدم القيد</t>
  </si>
  <si>
    <t>فحص الجلسات القضائية</t>
  </si>
  <si>
    <t>قيد دعوى إدارية</t>
  </si>
  <si>
    <t>مواعيدي</t>
  </si>
  <si>
    <t>التقرير المبدئي</t>
  </si>
  <si>
    <t>الملف الالكتروني للدعوى</t>
  </si>
  <si>
    <t>تسليم نسخة حكم</t>
  </si>
  <si>
    <t>طلب التظلم من عدم تسليم حكم</t>
  </si>
  <si>
    <t>طلب السير في الدعوى</t>
  </si>
  <si>
    <t>طلب إدخال</t>
  </si>
  <si>
    <t>طلب إعادة النظر</t>
  </si>
  <si>
    <t>طلب تدخل</t>
  </si>
  <si>
    <t>طلب تصحيح خطأ مادي في حكم</t>
  </si>
  <si>
    <t>طلب تفسير حكم</t>
  </si>
  <si>
    <t>طلب رد خبير</t>
  </si>
  <si>
    <t>طلب رد قاضي</t>
  </si>
  <si>
    <t>طلب عاجل</t>
  </si>
  <si>
    <t>طلب عارض في دعوى</t>
  </si>
  <si>
    <t>طلب مترجم لجلسة دعوى</t>
  </si>
  <si>
    <t>طلبات الاستئناف</t>
  </si>
  <si>
    <t>قيد اعتراض</t>
  </si>
  <si>
    <t>الاستعلام عن الطلبات</t>
  </si>
  <si>
    <t>الاستعلام عن المذكرات</t>
  </si>
  <si>
    <t>الاستعلامات الحكومية</t>
  </si>
  <si>
    <t>الأعتذار عن الجلسات</t>
  </si>
  <si>
    <t>التحقق من بيانات اعتراضات المحكمة العليا</t>
  </si>
  <si>
    <t>الدعاوى التاريخية الإدارية</t>
  </si>
  <si>
    <t>الدعاوى طبية وتحكيم التاريخية</t>
  </si>
  <si>
    <t>إثبات نهائية حكم</t>
  </si>
  <si>
    <t>أرشفة القضايا</t>
  </si>
  <si>
    <t>تأجيل تسليم أحكام دعوى</t>
  </si>
  <si>
    <t>خطابات الإبلاغ</t>
  </si>
  <si>
    <t>دعاوى استئناف حكم التاريخية</t>
  </si>
  <si>
    <t>شطب الدعاوى</t>
  </si>
  <si>
    <t>ضم وفصل الدعاوى</t>
  </si>
  <si>
    <t>طلب التنازل عن استئناف</t>
  </si>
  <si>
    <t>طلب التنازل عن اعتراض</t>
  </si>
  <si>
    <t>طلب الخبرة المبدئي وندب الخبرة</t>
  </si>
  <si>
    <t>طلب النظر في قضية مشطوبة</t>
  </si>
  <si>
    <t>طلب تنحي قاضي</t>
  </si>
  <si>
    <t>طلب وقف التنفيذ</t>
  </si>
  <si>
    <t>طلباتي</t>
  </si>
  <si>
    <t>قيد دعوى اختصاص ولائي</t>
  </si>
  <si>
    <t>قيد دعوى استئناف حكم</t>
  </si>
  <si>
    <t>قيد دعوى استئناف طبية وتحكيم</t>
  </si>
  <si>
    <t>الأولوية</t>
  </si>
  <si>
    <t>Comment</t>
  </si>
  <si>
    <t>بالتوازي من أول يوم وذلك لاعتماد النظام عليها بشكل كامل</t>
  </si>
  <si>
    <t>أساسيات من البداية</t>
  </si>
  <si>
    <t>Complexity</t>
  </si>
  <si>
    <t>Dev MDs</t>
  </si>
  <si>
    <t>ALL</t>
  </si>
  <si>
    <t>Complex</t>
  </si>
  <si>
    <t>Medium</t>
  </si>
  <si>
    <t>Simple</t>
  </si>
  <si>
    <t>Basic</t>
  </si>
  <si>
    <t>Total Scope</t>
  </si>
  <si>
    <t>Reports</t>
  </si>
  <si>
    <t>Data Migration</t>
  </si>
  <si>
    <t>Integration</t>
  </si>
  <si>
    <t>CRs &amp; Enhancements</t>
  </si>
  <si>
    <t>Total Dev Price</t>
  </si>
  <si>
    <t>Analysis MD</t>
  </si>
  <si>
    <t>UI/UX</t>
  </si>
  <si>
    <t>Code Review</t>
  </si>
  <si>
    <t>QC</t>
  </si>
  <si>
    <t>PM</t>
  </si>
  <si>
    <t>UAT</t>
  </si>
  <si>
    <t>WD</t>
  </si>
  <si>
    <t>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</si>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</sst>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0000"/>
      <name val="Tajawal"/>
    </font>
    <font>
      <sz val="11"/>
      <name val="Tajawal"/>
    </font>
    <font>
      <sz val="11"/>
      <color theme="1"/>
      <name val="Tajaw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Copy%20of%20phases.xlsx" TargetMode="External"/><Relationship Id="rId1" Type="http://schemas.openxmlformats.org/officeDocument/2006/relationships/externalLinkPath" Target="file:///C:\Users\Lenovo\Downloads\Copy%20of%20p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اسم الخدمة</v>
          </cell>
          <cell r="E3" t="str">
            <v>Comment</v>
          </cell>
          <cell r="F3" t="str">
            <v>الأولوية</v>
          </cell>
        </row>
        <row r="4">
          <cell r="D4" t="str">
            <v>قيد دعوى إدارية</v>
          </cell>
          <cell r="F4">
            <v>1</v>
          </cell>
        </row>
        <row r="5">
          <cell r="D5" t="str">
            <v>قيد دعوى اختصاص ولائي</v>
          </cell>
          <cell r="F5">
            <v>2</v>
          </cell>
        </row>
        <row r="6">
          <cell r="D6" t="str">
            <v>قيد دعوى استئناف طبية وتحكيم</v>
          </cell>
          <cell r="F6">
            <v>3</v>
          </cell>
        </row>
        <row r="7">
          <cell r="D7" t="str">
            <v>طلب التظلم من عدم القيد</v>
          </cell>
          <cell r="F7">
            <v>4</v>
          </cell>
        </row>
        <row r="8">
          <cell r="D8" t="str">
            <v>إحالة الدعاوى</v>
          </cell>
          <cell r="F8">
            <v>5</v>
          </cell>
        </row>
        <row r="9">
          <cell r="D9" t="str">
            <v>توزيع الدعاوى على أعضاء الدائرة</v>
          </cell>
          <cell r="F9">
            <v>6</v>
          </cell>
        </row>
        <row r="10">
          <cell r="D10" t="str">
            <v>التقرير المبدئي</v>
          </cell>
          <cell r="F10">
            <v>7</v>
          </cell>
        </row>
        <row r="11">
          <cell r="D11" t="str">
            <v>إدارة الجلسات القضائية</v>
          </cell>
          <cell r="F11">
            <v>8</v>
          </cell>
        </row>
        <row r="12">
          <cell r="D12" t="str">
            <v>حضور الجلسات</v>
          </cell>
          <cell r="F12">
            <v>9</v>
          </cell>
        </row>
        <row r="13">
          <cell r="D13" t="str">
            <v>إثبات الحضور</v>
          </cell>
          <cell r="F13">
            <v>10</v>
          </cell>
        </row>
        <row r="14">
          <cell r="D14" t="str">
            <v>العرض المرئي للجلسات المسجلة</v>
          </cell>
          <cell r="F14">
            <v>11</v>
          </cell>
        </row>
        <row r="15">
          <cell r="D15" t="str">
            <v>الاعتذار عن الجلسات</v>
          </cell>
          <cell r="F15">
            <v>12</v>
          </cell>
        </row>
        <row r="16">
          <cell r="D16" t="str">
            <v>محاضر الجلسات</v>
          </cell>
          <cell r="F16">
            <v>13</v>
          </cell>
        </row>
        <row r="17">
          <cell r="D17" t="str">
            <v>شطب الدعاوى</v>
          </cell>
          <cell r="F17">
            <v>14</v>
          </cell>
        </row>
        <row r="18">
          <cell r="D18" t="str">
            <v>ضم وفصل الدعاوى</v>
          </cell>
          <cell r="F18">
            <v>15</v>
          </cell>
        </row>
        <row r="19">
          <cell r="D19" t="str">
            <v>ضم وفصل الطلبات</v>
          </cell>
          <cell r="E19" t="str">
            <v>out of scope</v>
          </cell>
          <cell r="F19">
            <v>16</v>
          </cell>
        </row>
        <row r="20">
          <cell r="D20" t="str">
            <v>تبادل المذكرات</v>
          </cell>
          <cell r="F20">
            <v>17</v>
          </cell>
        </row>
        <row r="21">
          <cell r="D21" t="str">
            <v>إعداد الأحكام</v>
          </cell>
          <cell r="F21">
            <v>18</v>
          </cell>
        </row>
        <row r="22">
          <cell r="D22" t="str">
            <v>الاستعلام عن الأحكام</v>
          </cell>
          <cell r="F22">
            <v>19</v>
          </cell>
        </row>
        <row r="23">
          <cell r="D23" t="str">
            <v>إثبات نهائية حكم</v>
          </cell>
          <cell r="F23">
            <v>20</v>
          </cell>
        </row>
        <row r="24">
          <cell r="D24" t="str">
            <v>تأجيل تسليم أحكام دعوى</v>
          </cell>
          <cell r="F24">
            <v>21</v>
          </cell>
        </row>
        <row r="25">
          <cell r="D25" t="str">
            <v>تسليم نسخة حكم</v>
          </cell>
          <cell r="F25">
            <v>22</v>
          </cell>
        </row>
        <row r="26">
          <cell r="D26" t="str">
            <v>طلبات الاستئناف</v>
          </cell>
          <cell r="F26">
            <v>23</v>
          </cell>
        </row>
        <row r="27">
          <cell r="D27" t="str">
            <v>طلب التنازل عن استئناف</v>
          </cell>
          <cell r="F27">
            <v>24</v>
          </cell>
        </row>
        <row r="28">
          <cell r="D28" t="str">
            <v>قيد دعوى استئناف حكم</v>
          </cell>
          <cell r="F28">
            <v>25</v>
          </cell>
        </row>
        <row r="29">
          <cell r="D29" t="str">
            <v>طلبات الاعتراض</v>
          </cell>
          <cell r="F29">
            <v>26</v>
          </cell>
        </row>
        <row r="30">
          <cell r="D30" t="str">
            <v>طلب التنازل عن اعتراض</v>
          </cell>
          <cell r="F30">
            <v>27</v>
          </cell>
        </row>
        <row r="31">
          <cell r="D31" t="str">
            <v>قيد اعتراض</v>
          </cell>
          <cell r="F31">
            <v>28</v>
          </cell>
        </row>
        <row r="32">
          <cell r="D32" t="str">
            <v>طلب عاجل</v>
          </cell>
          <cell r="E32" t="str">
            <v>بالتوازي بعد الإحالة</v>
          </cell>
          <cell r="F32">
            <v>29</v>
          </cell>
        </row>
        <row r="33">
          <cell r="D33" t="str">
            <v>طلب إدخال</v>
          </cell>
          <cell r="E33" t="str">
            <v>بالتوازي بعد الإحالة</v>
          </cell>
          <cell r="F33">
            <v>30</v>
          </cell>
        </row>
        <row r="34">
          <cell r="D34" t="str">
            <v>طلب تدخل</v>
          </cell>
          <cell r="E34" t="str">
            <v>بالتوازي بعد الإحالة</v>
          </cell>
          <cell r="F34">
            <v>31</v>
          </cell>
        </row>
        <row r="35">
          <cell r="D35" t="str">
            <v>طلب عارض في دعوى</v>
          </cell>
          <cell r="E35" t="str">
            <v>بالتوازي بعد الإحالة</v>
          </cell>
          <cell r="F35">
            <v>32</v>
          </cell>
        </row>
        <row r="36">
          <cell r="D36" t="str">
            <v>طلب الخبرة المبدئي وندب الخبرة</v>
          </cell>
          <cell r="E36" t="str">
            <v>بالتوازي بعد الإحالة</v>
          </cell>
          <cell r="F36">
            <v>33</v>
          </cell>
        </row>
        <row r="37">
          <cell r="D37" t="str">
            <v>طلب رد قاضي</v>
          </cell>
          <cell r="E37" t="str">
            <v>بالتوازي بعد الإحالة</v>
          </cell>
          <cell r="F37">
            <v>34</v>
          </cell>
        </row>
        <row r="38">
          <cell r="D38" t="str">
            <v>طلب تنحي قاضي</v>
          </cell>
          <cell r="E38" t="str">
            <v>بالتوازي بعد الإحالة</v>
          </cell>
          <cell r="F38">
            <v>35</v>
          </cell>
        </row>
        <row r="39">
          <cell r="D39" t="str">
            <v>طلب رد خبير</v>
          </cell>
          <cell r="E39" t="str">
            <v>بالتوازي بعد الإحالة</v>
          </cell>
          <cell r="F39">
            <v>36</v>
          </cell>
        </row>
        <row r="40">
          <cell r="D40" t="str">
            <v>طلب مترجم</v>
          </cell>
          <cell r="E40" t="str">
            <v>بالتوازي بعد الإحالة</v>
          </cell>
          <cell r="F40">
            <v>37</v>
          </cell>
        </row>
        <row r="41">
          <cell r="D41" t="str">
            <v>طلب السير في الدعوى</v>
          </cell>
          <cell r="E41" t="str">
            <v>بالتوازي بعد الإحالة</v>
          </cell>
          <cell r="F41">
            <v>38</v>
          </cell>
        </row>
        <row r="42">
          <cell r="D42" t="str">
            <v>طلب إعادة النظر</v>
          </cell>
          <cell r="E42" t="str">
            <v>بالتوازي بعد الإحالة</v>
          </cell>
          <cell r="F42">
            <v>39</v>
          </cell>
        </row>
        <row r="43">
          <cell r="D43" t="str">
            <v>طلب النظر في قضية مشطوبة</v>
          </cell>
          <cell r="E43" t="str">
            <v>بالتوازي بعد الإحالة</v>
          </cell>
          <cell r="F43">
            <v>40</v>
          </cell>
        </row>
        <row r="44">
          <cell r="D44" t="str">
            <v>طلب التظلم من عدم تسليم حكم</v>
          </cell>
          <cell r="E44" t="str">
            <v>بالتوازي بعد الأحكام</v>
          </cell>
          <cell r="F44">
            <v>41</v>
          </cell>
        </row>
        <row r="45">
          <cell r="D45" t="str">
            <v>طلب تصحيح خطأ مادي</v>
          </cell>
          <cell r="E45" t="str">
            <v>بالتوازي بعد الأحكام</v>
          </cell>
          <cell r="F45">
            <v>42</v>
          </cell>
        </row>
        <row r="46">
          <cell r="D46" t="str">
            <v>طلب تفسير حكم</v>
          </cell>
          <cell r="E46" t="str">
            <v>بالتوازي بعد الأحكام</v>
          </cell>
          <cell r="F46">
            <v>43</v>
          </cell>
        </row>
        <row r="47">
          <cell r="D47" t="str">
            <v>طلب وقف التنفيذ</v>
          </cell>
          <cell r="F47">
            <v>44</v>
          </cell>
        </row>
        <row r="48">
          <cell r="D48" t="str">
            <v>طلبات التنفيذ</v>
          </cell>
          <cell r="E48" t="str">
            <v>out of scope</v>
          </cell>
          <cell r="F48">
            <v>45</v>
          </cell>
        </row>
        <row r="49">
          <cell r="D49" t="str">
            <v>طلب إتمام تنفيذ</v>
          </cell>
          <cell r="E49" t="str">
            <v>out of scope</v>
          </cell>
          <cell r="F49">
            <v>46</v>
          </cell>
        </row>
        <row r="50">
          <cell r="D50" t="str">
            <v>طلب ترك طلب التنفيذ</v>
          </cell>
          <cell r="E50" t="str">
            <v>out of scope</v>
          </cell>
          <cell r="F50">
            <v>47</v>
          </cell>
        </row>
        <row r="51">
          <cell r="D51" t="str">
            <v>الملف الإلكتروني للدعوى</v>
          </cell>
          <cell r="F51">
            <v>48</v>
          </cell>
        </row>
        <row r="52">
          <cell r="D52" t="str">
            <v>الإشعارات والتنبيهات</v>
          </cell>
          <cell r="E52" t="str">
            <v>بالتوازي من اليوم الأول</v>
          </cell>
          <cell r="F52">
            <v>49</v>
          </cell>
        </row>
        <row r="53">
          <cell r="D53" t="str">
            <v>التبليغ الإلكتروني</v>
          </cell>
          <cell r="E53" t="str">
            <v>بالتوازي من بعد قيد الدعوى مع الخدمات المرتبطة</v>
          </cell>
          <cell r="F53">
            <v>50</v>
          </cell>
        </row>
        <row r="54">
          <cell r="D54" t="str">
            <v>خطابات الإبلاغ</v>
          </cell>
          <cell r="E54" t="str">
            <v>بالتوازي من بعد قيد الدعوى مع الخدمات المرتبطة</v>
          </cell>
          <cell r="F54">
            <v>51</v>
          </cell>
        </row>
        <row r="55">
          <cell r="D55" t="str">
            <v>أرشفة القضايا</v>
          </cell>
          <cell r="F55">
            <v>52</v>
          </cell>
        </row>
        <row r="56">
          <cell r="D56" t="str">
            <v>الدعاوى التاريخية الإدارية</v>
          </cell>
          <cell r="F56">
            <v>53</v>
          </cell>
        </row>
        <row r="57">
          <cell r="D57" t="str">
            <v>الدعاوى طبية وتحكيم التاريخية</v>
          </cell>
          <cell r="F57">
            <v>54</v>
          </cell>
        </row>
        <row r="58">
          <cell r="D58" t="str">
            <v>دعاوى استئناف حكم التاريخية</v>
          </cell>
          <cell r="F58">
            <v>55</v>
          </cell>
        </row>
        <row r="59">
          <cell r="D59" t="str">
            <v>التحقق من بيانات اعتراضات المحكمة العليا</v>
          </cell>
          <cell r="F59">
            <v>56</v>
          </cell>
        </row>
        <row r="60">
          <cell r="D60" t="str">
            <v>طلبات الدعاوى التأديبية</v>
          </cell>
          <cell r="E60" t="str">
            <v>out of scope</v>
          </cell>
          <cell r="F60">
            <v>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9DE9-77F6-4B66-8266-5D947440A020}">
  <dimension ref="A1:M79"/>
  <sheetViews>
    <sheetView rightToLeft="1" tabSelected="1" workbookViewId="0">
      <selection activeCell="E11" sqref="E11"/>
    </sheetView>
  </sheetViews>
  <sheetFormatPr defaultRowHeight="14.5"/>
  <cols>
    <col min="1" max="3" width="30.54296875" customWidth="1"/>
    <col min="4" max="4" width="18.26953125" bestFit="1" customWidth="1"/>
    <col min="5" max="5" width="9.1796875" bestFit="1" customWidth="1"/>
    <col min="6" max="6" width="12.08984375" bestFit="1" customWidth="1"/>
    <col min="7" max="11" width="15.1796875" customWidth="1"/>
    <col min="12" max="12" width="13.90625" bestFit="1" customWidth="1"/>
  </cols>
  <sheetData>
    <row r="1" spans="1:13">
      <c r="A1" s="1" t="s">
        <v>0</v>
      </c>
      <c r="B1" s="1" t="s">
        <v>71</v>
      </c>
      <c r="C1" s="1" t="s">
        <v>72</v>
      </c>
      <c r="D1" s="6" t="s">
        <v>75</v>
      </c>
      <c r="E1" s="6" t="s">
        <v>76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93</v>
      </c>
      <c r="K1" s="6" t="s">
        <v>92</v>
      </c>
      <c r="L1" s="6" t="s">
        <v>77</v>
      </c>
      <c r="M1" s="6" t="s">
        <v>94</v>
      </c>
    </row>
    <row r="2" spans="1:13" ht="28">
      <c r="A2" s="2" t="s">
        <v>2</v>
      </c>
      <c r="B2" s="2">
        <v>0</v>
      </c>
      <c r="C2" s="2" t="s">
        <v>73</v>
      </c>
      <c r="E2">
        <v>100</v>
      </c>
      <c r="L2">
        <v>100</v>
      </c>
      <c r="M2">
        <v>100</v>
      </c>
    </row>
    <row r="3" spans="1:13">
      <c r="A3" s="3" t="s">
        <v>3</v>
      </c>
      <c r="B3" s="3">
        <v>0</v>
      </c>
      <c r="C3" s="10" t="s">
        <v>74</v>
      </c>
      <c r="D3" s="13"/>
      <c r="E3" s="9">
        <v>170</v>
      </c>
      <c r="F3" s="9">
        <f t="shared" ref="F3:F66" si="0">E3*0.25</f>
        <v>42.5</v>
      </c>
      <c r="G3" s="9">
        <f>E3*0.25</f>
        <v>42.5</v>
      </c>
      <c r="H3" s="9">
        <f>E3*0.25</f>
        <v>42.5</v>
      </c>
      <c r="I3" s="9">
        <f>E3*0.5</f>
        <v>85</v>
      </c>
      <c r="J3" s="9">
        <f>E3*0.25</f>
        <v>42.5</v>
      </c>
      <c r="K3" s="9">
        <f>E3*0.25</f>
        <v>42.5</v>
      </c>
      <c r="L3" s="9">
        <f>E3*2.75</f>
        <v>467.5</v>
      </c>
      <c r="M3" s="9">
        <f>E3/5+F3+G3+H3+I3+J3</f>
        <v>289</v>
      </c>
    </row>
    <row r="4" spans="1:13">
      <c r="A4" s="3" t="s">
        <v>9</v>
      </c>
      <c r="B4" s="3">
        <v>0</v>
      </c>
      <c r="C4" s="11"/>
      <c r="D4" s="13"/>
      <c r="E4" s="9"/>
      <c r="F4" s="9"/>
      <c r="G4" s="9"/>
      <c r="H4" s="9"/>
      <c r="I4" s="9"/>
      <c r="J4" s="9"/>
      <c r="K4" s="9"/>
      <c r="L4" s="9"/>
      <c r="M4" s="9"/>
    </row>
    <row r="5" spans="1:13">
      <c r="A5" s="4" t="s">
        <v>10</v>
      </c>
      <c r="B5" s="4">
        <v>0</v>
      </c>
      <c r="C5" s="11"/>
      <c r="D5" s="13"/>
      <c r="E5" s="9"/>
      <c r="F5" s="9"/>
      <c r="G5" s="9"/>
      <c r="H5" s="9"/>
      <c r="I5" s="9"/>
      <c r="J5" s="9"/>
      <c r="K5" s="9"/>
      <c r="L5" s="9"/>
      <c r="M5" s="9"/>
    </row>
    <row r="6" spans="1:13">
      <c r="A6" s="3" t="s">
        <v>15</v>
      </c>
      <c r="B6" s="3">
        <v>0</v>
      </c>
      <c r="C6" s="11"/>
      <c r="D6" s="13"/>
      <c r="E6" s="9"/>
      <c r="F6" s="9"/>
      <c r="G6" s="9"/>
      <c r="H6" s="9"/>
      <c r="I6" s="9"/>
      <c r="J6" s="9"/>
      <c r="K6" s="9"/>
      <c r="L6" s="9"/>
      <c r="M6" s="9"/>
    </row>
    <row r="7" spans="1:13">
      <c r="A7" s="4" t="s">
        <v>22</v>
      </c>
      <c r="B7" s="4">
        <v>0</v>
      </c>
      <c r="C7" s="11"/>
      <c r="D7" s="13"/>
      <c r="E7" s="9"/>
      <c r="F7" s="9"/>
      <c r="G7" s="9"/>
      <c r="H7" s="9"/>
      <c r="I7" s="9"/>
      <c r="J7" s="9"/>
      <c r="K7" s="9"/>
      <c r="L7" s="9"/>
      <c r="M7" s="9"/>
    </row>
    <row r="8" spans="1:13">
      <c r="A8" s="4" t="s">
        <v>8</v>
      </c>
      <c r="B8" s="4">
        <v>0</v>
      </c>
      <c r="C8" s="11"/>
      <c r="D8" s="13"/>
      <c r="E8" s="9"/>
      <c r="F8" s="9"/>
      <c r="G8" s="9"/>
      <c r="H8" s="9"/>
      <c r="I8" s="9"/>
      <c r="J8" s="9"/>
      <c r="K8" s="9"/>
      <c r="L8" s="9"/>
      <c r="M8" s="9"/>
    </row>
    <row r="9" spans="1:13">
      <c r="A9" s="4" t="s">
        <v>4</v>
      </c>
      <c r="B9" s="4">
        <v>0</v>
      </c>
      <c r="C9" s="12"/>
      <c r="D9" s="14"/>
      <c r="E9" s="9"/>
      <c r="F9" s="9"/>
      <c r="G9" s="9"/>
      <c r="H9" s="9"/>
      <c r="I9" s="9"/>
      <c r="J9" s="9"/>
      <c r="K9" s="9"/>
      <c r="L9" s="9"/>
      <c r="M9" s="9"/>
    </row>
    <row r="10" spans="1:13">
      <c r="A10" s="3" t="s">
        <v>28</v>
      </c>
      <c r="B10" s="3">
        <f>VLOOKUP(A:A,[1]Sheet1!$D:$F,3,)</f>
        <v>1</v>
      </c>
      <c r="C10" s="3"/>
      <c r="D10" s="7" t="s">
        <v>78</v>
      </c>
      <c r="E10">
        <v>30</v>
      </c>
      <c r="F10">
        <f t="shared" si="0"/>
        <v>7.5</v>
      </c>
      <c r="G10">
        <f>E10*0.25</f>
        <v>7.5</v>
      </c>
      <c r="H10">
        <f>E10*0.25</f>
        <v>7.5</v>
      </c>
      <c r="I10">
        <f>E10*0.5</f>
        <v>15</v>
      </c>
      <c r="J10">
        <f>E10*0.25</f>
        <v>7.5</v>
      </c>
      <c r="K10">
        <f>E10*0.25</f>
        <v>7.5</v>
      </c>
      <c r="L10">
        <f>E10*2.75</f>
        <v>82.5</v>
      </c>
      <c r="M10">
        <f>E10/5+F10+G10+H10+I10+J10</f>
        <v>51</v>
      </c>
    </row>
    <row r="11" spans="1:13">
      <c r="A11" s="4" t="s">
        <v>68</v>
      </c>
      <c r="B11" s="4">
        <f>VLOOKUP(A:A,[1]Sheet1!$D:$F,3,)</f>
        <v>2</v>
      </c>
      <c r="C11" s="4"/>
      <c r="D11" s="7" t="s">
        <v>78</v>
      </c>
      <c r="E11">
        <v>30</v>
      </c>
      <c r="F11">
        <f t="shared" si="0"/>
        <v>7.5</v>
      </c>
      <c r="G11">
        <f t="shared" ref="G11:G39" si="1">E11*0.25</f>
        <v>7.5</v>
      </c>
      <c r="H11">
        <f t="shared" ref="H11:H39" si="2">E11*0.25</f>
        <v>7.5</v>
      </c>
      <c r="I11">
        <f t="shared" ref="I11:I39" si="3">E11*0.5</f>
        <v>15</v>
      </c>
      <c r="J11">
        <f t="shared" ref="J11:J39" si="4">E11*0.25</f>
        <v>7.5</v>
      </c>
      <c r="K11">
        <f t="shared" ref="K11:K39" si="5">E11*0.25</f>
        <v>7.5</v>
      </c>
      <c r="L11">
        <f t="shared" ref="L11:L12" si="6">E11*2.75</f>
        <v>82.5</v>
      </c>
      <c r="M11">
        <f t="shared" ref="M11:M39" si="7">E11/5+F11+G11+H11+I11+J11</f>
        <v>51</v>
      </c>
    </row>
    <row r="12" spans="1:13">
      <c r="A12" s="2" t="s">
        <v>70</v>
      </c>
      <c r="B12" s="2">
        <f>VLOOKUP(A:A,[1]Sheet1!$D:$F,3,)</f>
        <v>3</v>
      </c>
      <c r="C12" s="2"/>
      <c r="D12" s="7" t="s">
        <v>78</v>
      </c>
      <c r="E12">
        <v>30</v>
      </c>
      <c r="F12">
        <f t="shared" si="0"/>
        <v>7.5</v>
      </c>
      <c r="G12">
        <f t="shared" si="1"/>
        <v>7.5</v>
      </c>
      <c r="H12">
        <f t="shared" si="2"/>
        <v>7.5</v>
      </c>
      <c r="I12">
        <f t="shared" si="3"/>
        <v>15</v>
      </c>
      <c r="J12">
        <f t="shared" si="4"/>
        <v>7.5</v>
      </c>
      <c r="K12">
        <f t="shared" si="5"/>
        <v>7.5</v>
      </c>
      <c r="L12">
        <f t="shared" si="6"/>
        <v>82.5</v>
      </c>
      <c r="M12">
        <f t="shared" si="7"/>
        <v>51</v>
      </c>
    </row>
    <row r="13" spans="1:13">
      <c r="A13" s="5" t="s">
        <v>26</v>
      </c>
      <c r="B13" s="5">
        <f>VLOOKUP(A:A,[1]Sheet1!$D:$F,3,)</f>
        <v>4</v>
      </c>
      <c r="C13" s="5"/>
      <c r="D13" s="8" t="s">
        <v>79</v>
      </c>
      <c r="E13">
        <v>20</v>
      </c>
      <c r="F13">
        <f t="shared" si="0"/>
        <v>5</v>
      </c>
      <c r="G13">
        <f t="shared" si="1"/>
        <v>5</v>
      </c>
      <c r="H13">
        <f t="shared" si="2"/>
        <v>5</v>
      </c>
      <c r="I13">
        <f t="shared" si="3"/>
        <v>10</v>
      </c>
      <c r="J13">
        <f t="shared" si="4"/>
        <v>5</v>
      </c>
      <c r="K13">
        <f t="shared" si="5"/>
        <v>5</v>
      </c>
      <c r="L13">
        <f t="shared" ref="L13:L18" si="8">E13*2.75</f>
        <v>55</v>
      </c>
      <c r="M13">
        <f t="shared" si="7"/>
        <v>34</v>
      </c>
    </row>
    <row r="14" spans="1:13">
      <c r="A14" s="2" t="s">
        <v>13</v>
      </c>
      <c r="B14" s="2">
        <f>VLOOKUP(A:A,[1]Sheet1!$D:$F,3,)</f>
        <v>5</v>
      </c>
      <c r="C14" s="2"/>
      <c r="D14" s="7" t="s">
        <v>78</v>
      </c>
      <c r="E14">
        <v>30</v>
      </c>
      <c r="F14">
        <f t="shared" si="0"/>
        <v>7.5</v>
      </c>
      <c r="G14">
        <f t="shared" si="1"/>
        <v>7.5</v>
      </c>
      <c r="H14">
        <f t="shared" si="2"/>
        <v>7.5</v>
      </c>
      <c r="I14">
        <f t="shared" si="3"/>
        <v>15</v>
      </c>
      <c r="J14">
        <f t="shared" si="4"/>
        <v>7.5</v>
      </c>
      <c r="K14">
        <f t="shared" si="5"/>
        <v>7.5</v>
      </c>
      <c r="L14">
        <f t="shared" si="8"/>
        <v>82.5</v>
      </c>
      <c r="M14">
        <f t="shared" si="7"/>
        <v>51</v>
      </c>
    </row>
    <row r="15" spans="1:13">
      <c r="A15" s="2" t="s">
        <v>16</v>
      </c>
      <c r="B15" s="2">
        <f>VLOOKUP(A:A,[1]Sheet1!$D:$F,3,)</f>
        <v>6</v>
      </c>
      <c r="C15" s="2"/>
      <c r="D15" s="8" t="s">
        <v>80</v>
      </c>
      <c r="E15">
        <v>15</v>
      </c>
      <c r="F15">
        <f t="shared" si="0"/>
        <v>3.75</v>
      </c>
      <c r="G15">
        <f t="shared" si="1"/>
        <v>3.75</v>
      </c>
      <c r="H15">
        <f t="shared" si="2"/>
        <v>3.75</v>
      </c>
      <c r="I15">
        <f t="shared" si="3"/>
        <v>7.5</v>
      </c>
      <c r="J15">
        <f t="shared" si="4"/>
        <v>3.75</v>
      </c>
      <c r="K15">
        <f t="shared" si="5"/>
        <v>3.75</v>
      </c>
      <c r="L15">
        <f t="shared" si="8"/>
        <v>41.25</v>
      </c>
      <c r="M15">
        <f t="shared" si="7"/>
        <v>25.5</v>
      </c>
    </row>
    <row r="16" spans="1:13">
      <c r="A16" s="3" t="s">
        <v>30</v>
      </c>
      <c r="B16" s="3">
        <f>VLOOKUP(A:A,[1]Sheet1!$D:$F,3,)</f>
        <v>7</v>
      </c>
      <c r="C16" s="3"/>
      <c r="D16" s="8" t="s">
        <v>80</v>
      </c>
      <c r="E16">
        <v>15</v>
      </c>
      <c r="F16">
        <f t="shared" si="0"/>
        <v>3.75</v>
      </c>
      <c r="G16">
        <f t="shared" si="1"/>
        <v>3.75</v>
      </c>
      <c r="H16">
        <f t="shared" si="2"/>
        <v>3.75</v>
      </c>
      <c r="I16">
        <f t="shared" si="3"/>
        <v>7.5</v>
      </c>
      <c r="J16">
        <f t="shared" si="4"/>
        <v>3.75</v>
      </c>
      <c r="K16">
        <f t="shared" si="5"/>
        <v>3.75</v>
      </c>
      <c r="L16">
        <f t="shared" si="8"/>
        <v>41.25</v>
      </c>
      <c r="M16">
        <f t="shared" si="7"/>
        <v>25.5</v>
      </c>
    </row>
    <row r="17" spans="1:13">
      <c r="A17" s="3" t="s">
        <v>24</v>
      </c>
      <c r="B17" s="3">
        <f>VLOOKUP(A:A,[1]Sheet1!$D:$F,3,)</f>
        <v>8</v>
      </c>
      <c r="C17" s="3"/>
      <c r="D17" s="8" t="s">
        <v>79</v>
      </c>
      <c r="E17">
        <v>20</v>
      </c>
      <c r="F17">
        <f t="shared" si="0"/>
        <v>5</v>
      </c>
      <c r="G17">
        <f t="shared" si="1"/>
        <v>5</v>
      </c>
      <c r="H17">
        <f t="shared" si="2"/>
        <v>5</v>
      </c>
      <c r="I17">
        <f t="shared" si="3"/>
        <v>10</v>
      </c>
      <c r="J17">
        <f t="shared" si="4"/>
        <v>5</v>
      </c>
      <c r="K17">
        <f t="shared" si="5"/>
        <v>5</v>
      </c>
      <c r="L17">
        <f t="shared" si="8"/>
        <v>55</v>
      </c>
      <c r="M17">
        <f t="shared" si="7"/>
        <v>34</v>
      </c>
    </row>
    <row r="18" spans="1:13">
      <c r="A18" s="3" t="s">
        <v>12</v>
      </c>
      <c r="B18" s="3">
        <v>8</v>
      </c>
      <c r="C18" s="3"/>
      <c r="D18" s="8" t="s">
        <v>81</v>
      </c>
      <c r="E18">
        <v>5</v>
      </c>
      <c r="F18">
        <f t="shared" si="0"/>
        <v>1.25</v>
      </c>
      <c r="G18">
        <f t="shared" si="1"/>
        <v>1.25</v>
      </c>
      <c r="H18">
        <f t="shared" si="2"/>
        <v>1.25</v>
      </c>
      <c r="I18">
        <f t="shared" si="3"/>
        <v>2.5</v>
      </c>
      <c r="J18">
        <f t="shared" si="4"/>
        <v>1.25</v>
      </c>
      <c r="K18">
        <f t="shared" si="5"/>
        <v>1.25</v>
      </c>
      <c r="L18">
        <f t="shared" si="8"/>
        <v>13.75</v>
      </c>
      <c r="M18">
        <f t="shared" si="7"/>
        <v>8.5</v>
      </c>
    </row>
    <row r="19" spans="1:13">
      <c r="A19" s="3" t="s">
        <v>25</v>
      </c>
      <c r="B19" s="3">
        <f>VLOOKUP(A:A,[1]Sheet1!$D:$F,3,)</f>
        <v>9</v>
      </c>
      <c r="C19" s="3"/>
      <c r="D19" s="8" t="s">
        <v>81</v>
      </c>
      <c r="E19">
        <v>5</v>
      </c>
      <c r="F19">
        <f t="shared" si="0"/>
        <v>1.25</v>
      </c>
      <c r="G19">
        <f t="shared" si="1"/>
        <v>1.25</v>
      </c>
      <c r="H19">
        <f t="shared" si="2"/>
        <v>1.25</v>
      </c>
      <c r="I19">
        <f t="shared" si="3"/>
        <v>2.5</v>
      </c>
      <c r="J19">
        <f t="shared" si="4"/>
        <v>1.25</v>
      </c>
      <c r="K19">
        <f t="shared" si="5"/>
        <v>1.25</v>
      </c>
      <c r="L19">
        <f t="shared" ref="L19:L21" si="9">E19*2.75</f>
        <v>13.75</v>
      </c>
      <c r="M19">
        <f t="shared" si="7"/>
        <v>8.5</v>
      </c>
    </row>
    <row r="20" spans="1:13">
      <c r="A20" s="3" t="s">
        <v>18</v>
      </c>
      <c r="B20" s="3">
        <f>VLOOKUP(A:A,[1]Sheet1!$D:$F,3,)</f>
        <v>10</v>
      </c>
      <c r="C20" s="3"/>
      <c r="D20" s="8" t="s">
        <v>81</v>
      </c>
      <c r="E20">
        <v>5</v>
      </c>
      <c r="F20">
        <f t="shared" si="0"/>
        <v>1.25</v>
      </c>
      <c r="G20">
        <f t="shared" si="1"/>
        <v>1.25</v>
      </c>
      <c r="H20">
        <f t="shared" si="2"/>
        <v>1.25</v>
      </c>
      <c r="I20">
        <f t="shared" si="3"/>
        <v>2.5</v>
      </c>
      <c r="J20">
        <f t="shared" si="4"/>
        <v>1.25</v>
      </c>
      <c r="K20">
        <f t="shared" si="5"/>
        <v>1.25</v>
      </c>
      <c r="L20">
        <f t="shared" si="9"/>
        <v>13.75</v>
      </c>
      <c r="M20">
        <f t="shared" si="7"/>
        <v>8.5</v>
      </c>
    </row>
    <row r="21" spans="1:13">
      <c r="A21" s="2" t="s">
        <v>23</v>
      </c>
      <c r="B21" s="2">
        <v>11</v>
      </c>
      <c r="C21" s="2"/>
      <c r="D21" s="8" t="s">
        <v>81</v>
      </c>
      <c r="E21">
        <v>5</v>
      </c>
      <c r="F21">
        <f t="shared" si="0"/>
        <v>1.25</v>
      </c>
      <c r="G21">
        <f t="shared" si="1"/>
        <v>1.25</v>
      </c>
      <c r="H21">
        <f t="shared" si="2"/>
        <v>1.25</v>
      </c>
      <c r="I21">
        <f t="shared" si="3"/>
        <v>2.5</v>
      </c>
      <c r="J21">
        <f t="shared" si="4"/>
        <v>1.25</v>
      </c>
      <c r="K21">
        <f t="shared" si="5"/>
        <v>1.25</v>
      </c>
      <c r="L21">
        <f t="shared" si="9"/>
        <v>13.75</v>
      </c>
      <c r="M21">
        <f t="shared" si="7"/>
        <v>8.5</v>
      </c>
    </row>
    <row r="22" spans="1:13">
      <c r="A22" s="4" t="s">
        <v>50</v>
      </c>
      <c r="B22" s="4">
        <f>VLOOKUP(A:A,[1]Sheet1!$D:$F,3,)</f>
        <v>12</v>
      </c>
      <c r="C22" s="4"/>
      <c r="D22" s="8" t="s">
        <v>80</v>
      </c>
      <c r="E22">
        <v>15</v>
      </c>
      <c r="F22">
        <f t="shared" si="0"/>
        <v>3.75</v>
      </c>
      <c r="G22">
        <f t="shared" si="1"/>
        <v>3.75</v>
      </c>
      <c r="H22">
        <f t="shared" si="2"/>
        <v>3.75</v>
      </c>
      <c r="I22">
        <f t="shared" si="3"/>
        <v>7.5</v>
      </c>
      <c r="J22">
        <f t="shared" si="4"/>
        <v>3.75</v>
      </c>
      <c r="K22">
        <f t="shared" si="5"/>
        <v>3.75</v>
      </c>
      <c r="L22">
        <f>E22*2.75</f>
        <v>41.25</v>
      </c>
      <c r="M22">
        <f t="shared" si="7"/>
        <v>25.5</v>
      </c>
    </row>
    <row r="23" spans="1:13">
      <c r="A23" s="3" t="s">
        <v>11</v>
      </c>
      <c r="B23" s="3">
        <f>VLOOKUP(A:A,[1]Sheet1!$D:$F,3,)</f>
        <v>13</v>
      </c>
      <c r="C23" s="3"/>
      <c r="E23">
        <v>40</v>
      </c>
      <c r="F23">
        <f t="shared" si="0"/>
        <v>10</v>
      </c>
      <c r="G23">
        <f t="shared" si="1"/>
        <v>10</v>
      </c>
      <c r="H23">
        <f t="shared" si="2"/>
        <v>10</v>
      </c>
      <c r="I23">
        <f t="shared" si="3"/>
        <v>20</v>
      </c>
      <c r="J23">
        <f t="shared" si="4"/>
        <v>10</v>
      </c>
      <c r="K23">
        <f t="shared" si="5"/>
        <v>10</v>
      </c>
      <c r="L23">
        <f>E23*2.75</f>
        <v>110</v>
      </c>
      <c r="M23">
        <f t="shared" si="7"/>
        <v>68</v>
      </c>
    </row>
    <row r="24" spans="1:13">
      <c r="A24" s="2" t="s">
        <v>59</v>
      </c>
      <c r="B24" s="2">
        <f>VLOOKUP(A:A,[1]Sheet1!$D:$F,3,)</f>
        <v>14</v>
      </c>
      <c r="C24" s="2"/>
      <c r="D24" s="8" t="s">
        <v>81</v>
      </c>
      <c r="E24">
        <v>5</v>
      </c>
      <c r="F24">
        <f t="shared" si="0"/>
        <v>1.25</v>
      </c>
      <c r="G24">
        <f t="shared" si="1"/>
        <v>1.25</v>
      </c>
      <c r="H24">
        <f t="shared" si="2"/>
        <v>1.25</v>
      </c>
      <c r="I24">
        <f t="shared" si="3"/>
        <v>2.5</v>
      </c>
      <c r="J24">
        <f t="shared" si="4"/>
        <v>1.25</v>
      </c>
      <c r="K24">
        <f t="shared" si="5"/>
        <v>1.25</v>
      </c>
      <c r="L24">
        <f>E24*2.75</f>
        <v>13.75</v>
      </c>
      <c r="M24">
        <f t="shared" si="7"/>
        <v>8.5</v>
      </c>
    </row>
    <row r="25" spans="1:13">
      <c r="A25" s="2" t="s">
        <v>60</v>
      </c>
      <c r="B25" s="2">
        <f>VLOOKUP(A:A,[1]Sheet1!$D:$F,3,)</f>
        <v>15</v>
      </c>
      <c r="C25" s="2"/>
      <c r="D25" s="8" t="s">
        <v>80</v>
      </c>
      <c r="E25">
        <v>15</v>
      </c>
      <c r="F25">
        <f t="shared" si="0"/>
        <v>3.75</v>
      </c>
      <c r="G25">
        <f t="shared" si="1"/>
        <v>3.75</v>
      </c>
      <c r="H25">
        <f t="shared" si="2"/>
        <v>3.75</v>
      </c>
      <c r="I25">
        <f t="shared" si="3"/>
        <v>7.5</v>
      </c>
      <c r="J25">
        <f t="shared" si="4"/>
        <v>3.75</v>
      </c>
      <c r="K25">
        <f t="shared" si="5"/>
        <v>3.75</v>
      </c>
      <c r="L25">
        <f>E25*2.75</f>
        <v>41.25</v>
      </c>
      <c r="M25">
        <f t="shared" si="7"/>
        <v>25.5</v>
      </c>
    </row>
    <row r="26" spans="1:13">
      <c r="A26" s="3" t="s">
        <v>14</v>
      </c>
      <c r="B26" s="3">
        <f>VLOOKUP(A:A,[1]Sheet1!$D:$F,3,)</f>
        <v>17</v>
      </c>
      <c r="C26" s="3"/>
      <c r="E26">
        <v>55</v>
      </c>
      <c r="F26">
        <f t="shared" si="0"/>
        <v>13.75</v>
      </c>
      <c r="G26">
        <f t="shared" si="1"/>
        <v>13.75</v>
      </c>
      <c r="H26">
        <f t="shared" si="2"/>
        <v>13.75</v>
      </c>
      <c r="I26">
        <f t="shared" si="3"/>
        <v>27.5</v>
      </c>
      <c r="J26">
        <f t="shared" si="4"/>
        <v>13.75</v>
      </c>
      <c r="K26">
        <f t="shared" si="5"/>
        <v>13.75</v>
      </c>
      <c r="L26">
        <f>E26*2.75</f>
        <v>151.25</v>
      </c>
      <c r="M26">
        <f t="shared" si="7"/>
        <v>93.5</v>
      </c>
    </row>
    <row r="27" spans="1:13">
      <c r="A27" s="2" t="s">
        <v>48</v>
      </c>
      <c r="B27" s="2">
        <v>17</v>
      </c>
      <c r="C27" s="2"/>
      <c r="D27" s="8" t="s">
        <v>81</v>
      </c>
      <c r="E27">
        <v>5</v>
      </c>
      <c r="F27">
        <f t="shared" si="0"/>
        <v>1.25</v>
      </c>
      <c r="G27">
        <f t="shared" si="1"/>
        <v>1.25</v>
      </c>
      <c r="H27">
        <f t="shared" si="2"/>
        <v>1.25</v>
      </c>
      <c r="I27">
        <f t="shared" si="3"/>
        <v>2.5</v>
      </c>
      <c r="J27">
        <f t="shared" si="4"/>
        <v>1.25</v>
      </c>
      <c r="K27">
        <f t="shared" si="5"/>
        <v>1.25</v>
      </c>
      <c r="L27">
        <f>E27*2.75</f>
        <v>13.75</v>
      </c>
      <c r="M27">
        <f t="shared" si="7"/>
        <v>8.5</v>
      </c>
    </row>
    <row r="28" spans="1:13">
      <c r="A28" s="2" t="s">
        <v>5</v>
      </c>
      <c r="B28" s="2">
        <f>VLOOKUP(A:A,[1]Sheet1!$D:$F,3,)</f>
        <v>18</v>
      </c>
      <c r="C28" s="2"/>
      <c r="D28" s="8" t="s">
        <v>79</v>
      </c>
      <c r="E28">
        <v>20</v>
      </c>
      <c r="F28">
        <f t="shared" si="0"/>
        <v>5</v>
      </c>
      <c r="G28">
        <f t="shared" si="1"/>
        <v>5</v>
      </c>
      <c r="H28">
        <f t="shared" si="2"/>
        <v>5</v>
      </c>
      <c r="I28">
        <f t="shared" si="3"/>
        <v>10</v>
      </c>
      <c r="J28">
        <f t="shared" si="4"/>
        <v>5</v>
      </c>
      <c r="K28">
        <f t="shared" si="5"/>
        <v>5</v>
      </c>
      <c r="L28">
        <f>E28*2.75</f>
        <v>55</v>
      </c>
      <c r="M28">
        <f t="shared" si="7"/>
        <v>34</v>
      </c>
    </row>
    <row r="29" spans="1:13">
      <c r="A29" s="2" t="s">
        <v>6</v>
      </c>
      <c r="B29" s="2">
        <f>VLOOKUP(A:A,[1]Sheet1!$D:$F,3,)</f>
        <v>19</v>
      </c>
      <c r="C29" s="2"/>
      <c r="D29" s="8" t="s">
        <v>81</v>
      </c>
      <c r="E29">
        <v>5</v>
      </c>
      <c r="F29">
        <f t="shared" si="0"/>
        <v>1.25</v>
      </c>
      <c r="G29">
        <f t="shared" si="1"/>
        <v>1.25</v>
      </c>
      <c r="H29">
        <f t="shared" si="2"/>
        <v>1.25</v>
      </c>
      <c r="I29">
        <f t="shared" si="3"/>
        <v>2.5</v>
      </c>
      <c r="J29">
        <f t="shared" si="4"/>
        <v>1.25</v>
      </c>
      <c r="K29">
        <f t="shared" si="5"/>
        <v>1.25</v>
      </c>
      <c r="L29">
        <f t="shared" ref="L29:L33" si="10">E29*2.75</f>
        <v>13.75</v>
      </c>
      <c r="M29">
        <f t="shared" si="7"/>
        <v>8.5</v>
      </c>
    </row>
    <row r="30" spans="1:13">
      <c r="A30" s="2" t="s">
        <v>54</v>
      </c>
      <c r="B30" s="2">
        <f>VLOOKUP(A:A,[1]Sheet1!$D:$F,3,)</f>
        <v>20</v>
      </c>
      <c r="C30" s="2"/>
      <c r="D30" s="8" t="s">
        <v>81</v>
      </c>
      <c r="E30">
        <v>5</v>
      </c>
      <c r="F30">
        <f t="shared" si="0"/>
        <v>1.25</v>
      </c>
      <c r="G30">
        <f t="shared" si="1"/>
        <v>1.25</v>
      </c>
      <c r="H30">
        <f t="shared" si="2"/>
        <v>1.25</v>
      </c>
      <c r="I30">
        <f t="shared" si="3"/>
        <v>2.5</v>
      </c>
      <c r="J30">
        <f t="shared" si="4"/>
        <v>1.25</v>
      </c>
      <c r="K30">
        <f t="shared" si="5"/>
        <v>1.25</v>
      </c>
      <c r="L30">
        <f t="shared" si="10"/>
        <v>13.75</v>
      </c>
      <c r="M30">
        <f t="shared" si="7"/>
        <v>8.5</v>
      </c>
    </row>
    <row r="31" spans="1:13">
      <c r="A31" s="2" t="s">
        <v>56</v>
      </c>
      <c r="B31" s="2">
        <f>VLOOKUP(A:A,[1]Sheet1!$D:$F,3,)</f>
        <v>21</v>
      </c>
      <c r="C31" s="2"/>
      <c r="D31" s="8" t="s">
        <v>81</v>
      </c>
      <c r="E31">
        <v>5</v>
      </c>
      <c r="F31">
        <f t="shared" si="0"/>
        <v>1.25</v>
      </c>
      <c r="G31">
        <f t="shared" si="1"/>
        <v>1.25</v>
      </c>
      <c r="H31">
        <f t="shared" si="2"/>
        <v>1.25</v>
      </c>
      <c r="I31">
        <f t="shared" si="3"/>
        <v>2.5</v>
      </c>
      <c r="J31">
        <f t="shared" si="4"/>
        <v>1.25</v>
      </c>
      <c r="K31">
        <f t="shared" si="5"/>
        <v>1.25</v>
      </c>
      <c r="L31">
        <f t="shared" si="10"/>
        <v>13.75</v>
      </c>
      <c r="M31">
        <f t="shared" si="7"/>
        <v>8.5</v>
      </c>
    </row>
    <row r="32" spans="1:13">
      <c r="A32" s="2" t="s">
        <v>32</v>
      </c>
      <c r="B32" s="2">
        <f>VLOOKUP(A:A,[1]Sheet1!$D:$F,3,)</f>
        <v>22</v>
      </c>
      <c r="C32" s="2"/>
      <c r="D32" s="8" t="s">
        <v>81</v>
      </c>
      <c r="E32">
        <v>5</v>
      </c>
      <c r="F32">
        <f t="shared" si="0"/>
        <v>1.25</v>
      </c>
      <c r="G32">
        <f t="shared" si="1"/>
        <v>1.25</v>
      </c>
      <c r="H32">
        <f t="shared" si="2"/>
        <v>1.25</v>
      </c>
      <c r="I32">
        <f t="shared" si="3"/>
        <v>2.5</v>
      </c>
      <c r="J32">
        <f t="shared" si="4"/>
        <v>1.25</v>
      </c>
      <c r="K32">
        <f t="shared" si="5"/>
        <v>1.25</v>
      </c>
      <c r="L32">
        <f t="shared" si="10"/>
        <v>13.75</v>
      </c>
      <c r="M32">
        <f t="shared" si="7"/>
        <v>8.5</v>
      </c>
    </row>
    <row r="33" spans="1:13">
      <c r="A33" s="3" t="s">
        <v>29</v>
      </c>
      <c r="B33" s="3">
        <v>22</v>
      </c>
      <c r="C33" s="3"/>
      <c r="D33" s="8" t="s">
        <v>81</v>
      </c>
      <c r="E33">
        <v>5</v>
      </c>
      <c r="F33">
        <f t="shared" si="0"/>
        <v>1.25</v>
      </c>
      <c r="G33">
        <f t="shared" si="1"/>
        <v>1.25</v>
      </c>
      <c r="H33">
        <f t="shared" si="2"/>
        <v>1.25</v>
      </c>
      <c r="I33">
        <f t="shared" si="3"/>
        <v>2.5</v>
      </c>
      <c r="J33">
        <f t="shared" si="4"/>
        <v>1.25</v>
      </c>
      <c r="K33">
        <f t="shared" si="5"/>
        <v>1.25</v>
      </c>
      <c r="L33">
        <f t="shared" si="10"/>
        <v>13.75</v>
      </c>
      <c r="M33">
        <f t="shared" si="7"/>
        <v>8.5</v>
      </c>
    </row>
    <row r="34" spans="1:13">
      <c r="A34" s="2" t="s">
        <v>45</v>
      </c>
      <c r="B34" s="2">
        <f>VLOOKUP(A:A,[1]Sheet1!$D:$F,3,)</f>
        <v>23</v>
      </c>
      <c r="C34" s="2"/>
      <c r="D34" s="8" t="s">
        <v>78</v>
      </c>
      <c r="E34">
        <v>30</v>
      </c>
      <c r="F34">
        <f t="shared" si="0"/>
        <v>7.5</v>
      </c>
      <c r="G34">
        <f t="shared" si="1"/>
        <v>7.5</v>
      </c>
      <c r="H34">
        <f t="shared" si="2"/>
        <v>7.5</v>
      </c>
      <c r="I34">
        <f t="shared" si="3"/>
        <v>15</v>
      </c>
      <c r="J34">
        <f t="shared" si="4"/>
        <v>7.5</v>
      </c>
      <c r="K34">
        <f t="shared" si="5"/>
        <v>7.5</v>
      </c>
      <c r="L34">
        <f t="shared" ref="L34:L40" si="11">E34*2.75</f>
        <v>82.5</v>
      </c>
      <c r="M34">
        <f t="shared" si="7"/>
        <v>51</v>
      </c>
    </row>
    <row r="35" spans="1:13">
      <c r="A35" s="4" t="s">
        <v>61</v>
      </c>
      <c r="B35" s="4">
        <f>VLOOKUP(A:A,[1]Sheet1!$D:$F,3,)</f>
        <v>24</v>
      </c>
      <c r="C35" s="4"/>
      <c r="D35" s="8" t="s">
        <v>80</v>
      </c>
      <c r="E35">
        <v>15</v>
      </c>
      <c r="F35">
        <f t="shared" si="0"/>
        <v>3.75</v>
      </c>
      <c r="G35">
        <f t="shared" si="1"/>
        <v>3.75</v>
      </c>
      <c r="H35">
        <f t="shared" si="2"/>
        <v>3.75</v>
      </c>
      <c r="I35">
        <f t="shared" si="3"/>
        <v>7.5</v>
      </c>
      <c r="J35">
        <f t="shared" si="4"/>
        <v>3.75</v>
      </c>
      <c r="K35">
        <f t="shared" si="5"/>
        <v>3.75</v>
      </c>
      <c r="L35">
        <f t="shared" si="11"/>
        <v>41.25</v>
      </c>
      <c r="M35">
        <f t="shared" si="7"/>
        <v>25.5</v>
      </c>
    </row>
    <row r="36" spans="1:13">
      <c r="A36" s="2" t="s">
        <v>69</v>
      </c>
      <c r="B36" s="2">
        <f>VLOOKUP(A:A,[1]Sheet1!$D:$F,3,)</f>
        <v>25</v>
      </c>
      <c r="C36" s="2"/>
      <c r="D36" s="8" t="s">
        <v>79</v>
      </c>
      <c r="E36">
        <v>20</v>
      </c>
      <c r="F36">
        <f t="shared" si="0"/>
        <v>5</v>
      </c>
      <c r="G36">
        <f t="shared" si="1"/>
        <v>5</v>
      </c>
      <c r="H36">
        <f t="shared" si="2"/>
        <v>5</v>
      </c>
      <c r="I36">
        <f t="shared" si="3"/>
        <v>10</v>
      </c>
      <c r="J36">
        <f t="shared" si="4"/>
        <v>5</v>
      </c>
      <c r="K36">
        <f t="shared" si="5"/>
        <v>5</v>
      </c>
      <c r="L36">
        <f t="shared" si="11"/>
        <v>55</v>
      </c>
      <c r="M36">
        <f t="shared" si="7"/>
        <v>34</v>
      </c>
    </row>
    <row r="37" spans="1:13">
      <c r="A37" s="2" t="s">
        <v>17</v>
      </c>
      <c r="B37" s="2">
        <f>VLOOKUP(A:A,[1]Sheet1!$D:$F,3,)</f>
        <v>26</v>
      </c>
      <c r="C37" s="2"/>
      <c r="D37" s="8" t="s">
        <v>78</v>
      </c>
      <c r="E37">
        <v>30</v>
      </c>
      <c r="F37">
        <f t="shared" si="0"/>
        <v>7.5</v>
      </c>
      <c r="G37">
        <f t="shared" si="1"/>
        <v>7.5</v>
      </c>
      <c r="H37">
        <f t="shared" si="2"/>
        <v>7.5</v>
      </c>
      <c r="I37">
        <f t="shared" si="3"/>
        <v>15</v>
      </c>
      <c r="J37">
        <f t="shared" si="4"/>
        <v>7.5</v>
      </c>
      <c r="K37">
        <f t="shared" si="5"/>
        <v>7.5</v>
      </c>
      <c r="L37">
        <f t="shared" si="11"/>
        <v>82.5</v>
      </c>
      <c r="M37">
        <f t="shared" si="7"/>
        <v>51</v>
      </c>
    </row>
    <row r="38" spans="1:13">
      <c r="A38" s="4" t="s">
        <v>62</v>
      </c>
      <c r="B38" s="4">
        <f>VLOOKUP(A:A,[1]Sheet1!$D:$F,3,)</f>
        <v>27</v>
      </c>
      <c r="C38" s="4"/>
      <c r="D38" s="8" t="s">
        <v>80</v>
      </c>
      <c r="E38">
        <v>15</v>
      </c>
      <c r="F38">
        <f t="shared" si="0"/>
        <v>3.75</v>
      </c>
      <c r="G38">
        <f t="shared" si="1"/>
        <v>3.75</v>
      </c>
      <c r="H38">
        <f t="shared" si="2"/>
        <v>3.75</v>
      </c>
      <c r="I38">
        <f t="shared" si="3"/>
        <v>7.5</v>
      </c>
      <c r="J38">
        <f t="shared" si="4"/>
        <v>3.75</v>
      </c>
      <c r="K38">
        <f t="shared" si="5"/>
        <v>3.75</v>
      </c>
      <c r="L38">
        <f t="shared" si="11"/>
        <v>41.25</v>
      </c>
      <c r="M38">
        <f t="shared" si="7"/>
        <v>25.5</v>
      </c>
    </row>
    <row r="39" spans="1:13">
      <c r="A39" s="2" t="s">
        <v>46</v>
      </c>
      <c r="B39" s="2">
        <f>VLOOKUP(A:A,[1]Sheet1!$D:$F,3,)</f>
        <v>28</v>
      </c>
      <c r="C39" s="2"/>
      <c r="D39" s="8" t="s">
        <v>79</v>
      </c>
      <c r="E39">
        <v>20</v>
      </c>
      <c r="F39">
        <f t="shared" si="0"/>
        <v>5</v>
      </c>
      <c r="G39">
        <f t="shared" si="1"/>
        <v>5</v>
      </c>
      <c r="H39">
        <f t="shared" si="2"/>
        <v>5</v>
      </c>
      <c r="I39">
        <f t="shared" si="3"/>
        <v>10</v>
      </c>
      <c r="J39">
        <f t="shared" si="4"/>
        <v>5</v>
      </c>
      <c r="K39">
        <f t="shared" si="5"/>
        <v>5</v>
      </c>
      <c r="L39">
        <f t="shared" si="11"/>
        <v>55</v>
      </c>
      <c r="M39">
        <f t="shared" si="7"/>
        <v>34</v>
      </c>
    </row>
    <row r="40" spans="1:13">
      <c r="A40" s="5" t="s">
        <v>42</v>
      </c>
      <c r="B40" s="5">
        <f>VLOOKUP(A:A,[1]Sheet1!$D:$F,3,)</f>
        <v>29</v>
      </c>
      <c r="C40" s="15" t="str">
        <f>VLOOKUP(A:A,[1]Sheet1!$D:$F,2,)</f>
        <v>بالتوازي بعد الإحالة</v>
      </c>
      <c r="D40" s="13"/>
      <c r="E40" s="9">
        <v>40</v>
      </c>
      <c r="F40" s="9">
        <f t="shared" si="0"/>
        <v>10</v>
      </c>
      <c r="G40" s="9">
        <f>E40*0.25</f>
        <v>10</v>
      </c>
      <c r="H40" s="9">
        <f>E40*0.25</f>
        <v>10</v>
      </c>
      <c r="I40" s="9">
        <f>E40*0.5</f>
        <v>20</v>
      </c>
      <c r="J40" s="9">
        <f>E40*0.25</f>
        <v>10</v>
      </c>
      <c r="K40" s="9">
        <f>E40*0.25</f>
        <v>10</v>
      </c>
      <c r="L40" s="9">
        <f t="shared" si="11"/>
        <v>110</v>
      </c>
      <c r="M40" s="9">
        <f>E40/5+F40+G40+H40+I40+J40</f>
        <v>68</v>
      </c>
    </row>
    <row r="41" spans="1:13">
      <c r="A41" s="5" t="s">
        <v>35</v>
      </c>
      <c r="B41" s="5">
        <f>VLOOKUP(A:A,[1]Sheet1!$D:$F,3,)</f>
        <v>30</v>
      </c>
      <c r="C41" s="16"/>
      <c r="D41" s="13"/>
      <c r="E41" s="9"/>
      <c r="F41" s="9"/>
      <c r="G41" s="9"/>
      <c r="H41" s="9"/>
      <c r="I41" s="9"/>
      <c r="J41" s="9"/>
      <c r="K41" s="9"/>
      <c r="L41" s="9"/>
      <c r="M41" s="9"/>
    </row>
    <row r="42" spans="1:13">
      <c r="A42" s="5" t="s">
        <v>37</v>
      </c>
      <c r="B42" s="5">
        <f>VLOOKUP(A:A,[1]Sheet1!$D:$F,3,)</f>
        <v>31</v>
      </c>
      <c r="C42" s="16"/>
      <c r="D42" s="13"/>
      <c r="E42" s="9"/>
      <c r="F42" s="9"/>
      <c r="G42" s="9"/>
      <c r="H42" s="9"/>
      <c r="I42" s="9"/>
      <c r="J42" s="9"/>
      <c r="K42" s="9"/>
      <c r="L42" s="9"/>
      <c r="M42" s="9"/>
    </row>
    <row r="43" spans="1:13">
      <c r="A43" s="5" t="s">
        <v>43</v>
      </c>
      <c r="B43" s="5">
        <f>VLOOKUP(A:A,[1]Sheet1!$D:$F,3,)</f>
        <v>32</v>
      </c>
      <c r="C43" s="16"/>
      <c r="D43" s="13"/>
      <c r="E43" s="9"/>
      <c r="F43" s="9"/>
      <c r="G43" s="9"/>
      <c r="H43" s="9"/>
      <c r="I43" s="9"/>
      <c r="J43" s="9"/>
      <c r="K43" s="9"/>
      <c r="L43" s="9"/>
      <c r="M43" s="9"/>
    </row>
    <row r="44" spans="1:13">
      <c r="A44" s="2" t="s">
        <v>63</v>
      </c>
      <c r="B44" s="2">
        <f>VLOOKUP(A:A,[1]Sheet1!$D:$F,3,)</f>
        <v>33</v>
      </c>
      <c r="C44" s="16"/>
      <c r="D44" s="13"/>
      <c r="E44" s="9"/>
      <c r="F44" s="9"/>
      <c r="G44" s="9"/>
      <c r="H44" s="9"/>
      <c r="I44" s="9"/>
      <c r="J44" s="9"/>
      <c r="K44" s="9"/>
      <c r="L44" s="9"/>
      <c r="M44" s="9"/>
    </row>
    <row r="45" spans="1:13">
      <c r="A45" s="2" t="s">
        <v>41</v>
      </c>
      <c r="B45" s="2">
        <f>VLOOKUP(A:A,[1]Sheet1!$D:$F,3,)</f>
        <v>34</v>
      </c>
      <c r="C45" s="16"/>
      <c r="D45" s="13"/>
      <c r="E45" s="9"/>
      <c r="F45" s="9"/>
      <c r="G45" s="9"/>
      <c r="H45" s="9"/>
      <c r="I45" s="9"/>
      <c r="J45" s="9"/>
      <c r="K45" s="9"/>
      <c r="L45" s="9"/>
      <c r="M45" s="9"/>
    </row>
    <row r="46" spans="1:13">
      <c r="A46" s="2" t="s">
        <v>65</v>
      </c>
      <c r="B46" s="2">
        <f>VLOOKUP(A:A,[1]Sheet1!$D:$F,3,)</f>
        <v>35</v>
      </c>
      <c r="C46" s="16"/>
      <c r="D46" s="13"/>
      <c r="E46" s="9"/>
      <c r="F46" s="9"/>
      <c r="G46" s="9"/>
      <c r="H46" s="9"/>
      <c r="I46" s="9"/>
      <c r="J46" s="9"/>
      <c r="K46" s="9"/>
      <c r="L46" s="9"/>
      <c r="M46" s="9"/>
    </row>
    <row r="47" spans="1:13">
      <c r="A47" s="5" t="s">
        <v>40</v>
      </c>
      <c r="B47" s="5">
        <f>VLOOKUP(A:A,[1]Sheet1!$D:$F,3,)</f>
        <v>36</v>
      </c>
      <c r="C47" s="16"/>
      <c r="D47" s="13"/>
      <c r="E47" s="9"/>
      <c r="F47" s="9"/>
      <c r="G47" s="9"/>
      <c r="H47" s="9"/>
      <c r="I47" s="9"/>
      <c r="J47" s="9"/>
      <c r="K47" s="9"/>
      <c r="L47" s="9"/>
      <c r="M47" s="9"/>
    </row>
    <row r="48" spans="1:13">
      <c r="A48" s="2" t="s">
        <v>44</v>
      </c>
      <c r="B48" s="2">
        <v>37</v>
      </c>
      <c r="C48" s="16"/>
      <c r="D48" s="13"/>
      <c r="E48" s="9"/>
      <c r="F48" s="9"/>
      <c r="G48" s="9"/>
      <c r="H48" s="9"/>
      <c r="I48" s="9"/>
      <c r="J48" s="9"/>
      <c r="K48" s="9"/>
      <c r="L48" s="9"/>
      <c r="M48" s="9"/>
    </row>
    <row r="49" spans="1:13">
      <c r="A49" s="5" t="s">
        <v>34</v>
      </c>
      <c r="B49" s="5">
        <f>VLOOKUP(A:A,[1]Sheet1!$D:$F,3,)</f>
        <v>38</v>
      </c>
      <c r="C49" s="16"/>
      <c r="D49" s="13"/>
      <c r="E49" s="9"/>
      <c r="F49" s="9"/>
      <c r="G49" s="9"/>
      <c r="H49" s="9"/>
      <c r="I49" s="9"/>
      <c r="J49" s="9"/>
      <c r="K49" s="9"/>
      <c r="L49" s="9"/>
      <c r="M49" s="9"/>
    </row>
    <row r="50" spans="1:13">
      <c r="A50" s="5" t="s">
        <v>36</v>
      </c>
      <c r="B50" s="5">
        <f>VLOOKUP(A:A,[1]Sheet1!$D:$F,3,)</f>
        <v>39</v>
      </c>
      <c r="C50" s="16"/>
      <c r="D50" s="13"/>
      <c r="E50" s="9"/>
      <c r="F50" s="9"/>
      <c r="G50" s="9"/>
      <c r="H50" s="9"/>
      <c r="I50" s="9"/>
      <c r="J50" s="9"/>
      <c r="K50" s="9"/>
      <c r="L50" s="9"/>
      <c r="M50" s="9"/>
    </row>
    <row r="51" spans="1:13">
      <c r="A51" s="4" t="s">
        <v>64</v>
      </c>
      <c r="B51" s="4">
        <f>VLOOKUP(A:A,[1]Sheet1!$D:$F,3,)</f>
        <v>40</v>
      </c>
      <c r="C51" s="16"/>
      <c r="D51" s="13"/>
      <c r="E51" s="9"/>
      <c r="F51" s="9"/>
      <c r="G51" s="9"/>
      <c r="H51" s="9"/>
      <c r="I51" s="9"/>
      <c r="J51" s="9"/>
      <c r="K51" s="9"/>
      <c r="L51" s="9"/>
      <c r="M51" s="9"/>
    </row>
    <row r="52" spans="1:13">
      <c r="A52" s="5" t="s">
        <v>33</v>
      </c>
      <c r="B52" s="5">
        <f>VLOOKUP(A:A,[1]Sheet1!$D:$F,3,)</f>
        <v>41</v>
      </c>
      <c r="C52" s="16"/>
      <c r="D52" s="13"/>
      <c r="E52" s="9"/>
      <c r="F52" s="9"/>
      <c r="G52" s="9"/>
      <c r="H52" s="9"/>
      <c r="I52" s="9"/>
      <c r="J52" s="9"/>
      <c r="K52" s="9"/>
      <c r="L52" s="9"/>
      <c r="M52" s="9"/>
    </row>
    <row r="53" spans="1:13">
      <c r="A53" s="5" t="s">
        <v>38</v>
      </c>
      <c r="B53" s="5">
        <v>42</v>
      </c>
      <c r="C53" s="16"/>
      <c r="D53" s="13"/>
      <c r="E53" s="9"/>
      <c r="F53" s="9"/>
      <c r="G53" s="9"/>
      <c r="H53" s="9"/>
      <c r="I53" s="9"/>
      <c r="J53" s="9"/>
      <c r="K53" s="9"/>
      <c r="L53" s="9"/>
      <c r="M53" s="9"/>
    </row>
    <row r="54" spans="1:13">
      <c r="A54" s="5" t="s">
        <v>39</v>
      </c>
      <c r="B54" s="5">
        <f>VLOOKUP(A:A,[1]Sheet1!$D:$F,3,)</f>
        <v>43</v>
      </c>
      <c r="C54" s="17"/>
      <c r="D54" s="13"/>
      <c r="E54" s="9"/>
      <c r="F54" s="9"/>
      <c r="G54" s="9"/>
      <c r="H54" s="9"/>
      <c r="I54" s="9"/>
      <c r="J54" s="9"/>
      <c r="K54" s="9"/>
      <c r="L54" s="9"/>
      <c r="M54" s="9"/>
    </row>
    <row r="55" spans="1:13">
      <c r="A55" s="4" t="s">
        <v>66</v>
      </c>
      <c r="B55" s="4">
        <f>VLOOKUP(A:A,[1]Sheet1!$D:$F,3,)</f>
        <v>44</v>
      </c>
      <c r="C55" s="4"/>
      <c r="D55" t="s">
        <v>80</v>
      </c>
      <c r="E55">
        <v>15</v>
      </c>
      <c r="F55">
        <f t="shared" si="0"/>
        <v>3.75</v>
      </c>
      <c r="G55">
        <f t="shared" ref="G55:G72" si="12">E55*0.25</f>
        <v>3.75</v>
      </c>
      <c r="H55">
        <f t="shared" ref="H55:H72" si="13">E55*0.25</f>
        <v>3.75</v>
      </c>
      <c r="I55">
        <f t="shared" ref="I55:I72" si="14">E55*0.5</f>
        <v>7.5</v>
      </c>
      <c r="J55">
        <f t="shared" ref="J55:J72" si="15">E55*0.25</f>
        <v>3.75</v>
      </c>
      <c r="K55">
        <f t="shared" ref="K55:K72" si="16">E55*0.25</f>
        <v>3.75</v>
      </c>
      <c r="L55">
        <f>E55*2.75</f>
        <v>41.25</v>
      </c>
      <c r="M55">
        <f t="shared" ref="M55:M71" si="17">E55/5+F55+G55+H55+I55+J55</f>
        <v>25.5</v>
      </c>
    </row>
    <row r="56" spans="1:13">
      <c r="A56" s="3" t="s">
        <v>47</v>
      </c>
      <c r="B56" s="3">
        <v>45</v>
      </c>
      <c r="C56" s="3"/>
      <c r="D56" t="s">
        <v>81</v>
      </c>
      <c r="E56">
        <v>5</v>
      </c>
      <c r="F56">
        <f t="shared" si="0"/>
        <v>1.25</v>
      </c>
      <c r="G56">
        <f t="shared" si="12"/>
        <v>1.25</v>
      </c>
      <c r="H56">
        <f t="shared" si="13"/>
        <v>1.25</v>
      </c>
      <c r="I56">
        <f t="shared" si="14"/>
        <v>2.5</v>
      </c>
      <c r="J56">
        <f t="shared" si="15"/>
        <v>1.25</v>
      </c>
      <c r="K56">
        <f t="shared" si="16"/>
        <v>1.25</v>
      </c>
      <c r="L56">
        <f t="shared" ref="L56:L59" si="18">E56*2.75</f>
        <v>13.75</v>
      </c>
      <c r="M56">
        <f t="shared" si="17"/>
        <v>8.5</v>
      </c>
    </row>
    <row r="57" spans="1:13">
      <c r="A57" s="3" t="s">
        <v>67</v>
      </c>
      <c r="B57" s="3">
        <v>45</v>
      </c>
      <c r="C57" s="3"/>
      <c r="D57" t="s">
        <v>81</v>
      </c>
      <c r="E57">
        <v>5</v>
      </c>
      <c r="F57">
        <f t="shared" si="0"/>
        <v>1.25</v>
      </c>
      <c r="G57">
        <f t="shared" si="12"/>
        <v>1.25</v>
      </c>
      <c r="H57">
        <f t="shared" si="13"/>
        <v>1.25</v>
      </c>
      <c r="I57">
        <f t="shared" si="14"/>
        <v>2.5</v>
      </c>
      <c r="J57">
        <f t="shared" si="15"/>
        <v>1.25</v>
      </c>
      <c r="K57">
        <f t="shared" si="16"/>
        <v>1.25</v>
      </c>
      <c r="L57">
        <f t="shared" si="18"/>
        <v>13.75</v>
      </c>
      <c r="M57">
        <f t="shared" si="17"/>
        <v>8.5</v>
      </c>
    </row>
    <row r="58" spans="1:13">
      <c r="A58" s="3" t="s">
        <v>19</v>
      </c>
      <c r="B58" s="3">
        <v>46</v>
      </c>
      <c r="C58" s="3"/>
      <c r="D58" t="s">
        <v>81</v>
      </c>
      <c r="E58">
        <v>5</v>
      </c>
      <c r="F58">
        <f t="shared" si="0"/>
        <v>1.25</v>
      </c>
      <c r="G58">
        <f t="shared" si="12"/>
        <v>1.25</v>
      </c>
      <c r="H58">
        <f t="shared" si="13"/>
        <v>1.25</v>
      </c>
      <c r="I58">
        <f t="shared" si="14"/>
        <v>2.5</v>
      </c>
      <c r="J58">
        <f t="shared" si="15"/>
        <v>1.25</v>
      </c>
      <c r="K58">
        <f t="shared" si="16"/>
        <v>1.25</v>
      </c>
      <c r="L58">
        <f t="shared" si="18"/>
        <v>13.75</v>
      </c>
      <c r="M58">
        <f t="shared" si="17"/>
        <v>8.5</v>
      </c>
    </row>
    <row r="59" spans="1:13">
      <c r="A59" s="2" t="s">
        <v>1</v>
      </c>
      <c r="B59" s="2">
        <v>47</v>
      </c>
      <c r="C59" s="2"/>
      <c r="D59" t="s">
        <v>81</v>
      </c>
      <c r="E59">
        <v>5</v>
      </c>
      <c r="F59">
        <f t="shared" si="0"/>
        <v>1.25</v>
      </c>
      <c r="G59">
        <f t="shared" si="12"/>
        <v>1.25</v>
      </c>
      <c r="H59">
        <f t="shared" si="13"/>
        <v>1.25</v>
      </c>
      <c r="I59">
        <f t="shared" si="14"/>
        <v>2.5</v>
      </c>
      <c r="J59">
        <f t="shared" si="15"/>
        <v>1.25</v>
      </c>
      <c r="K59">
        <f t="shared" si="16"/>
        <v>1.25</v>
      </c>
      <c r="L59">
        <f t="shared" si="18"/>
        <v>13.75</v>
      </c>
      <c r="M59">
        <f t="shared" si="17"/>
        <v>8.5</v>
      </c>
    </row>
    <row r="60" spans="1:13">
      <c r="A60" s="3" t="s">
        <v>31</v>
      </c>
      <c r="B60" s="3">
        <f>VLOOKUP(A:A,[1]Sheet1!$D:$F,3,)</f>
        <v>48</v>
      </c>
      <c r="C60" s="3"/>
      <c r="D60" t="s">
        <v>79</v>
      </c>
      <c r="E60">
        <v>20</v>
      </c>
      <c r="F60">
        <f t="shared" si="0"/>
        <v>5</v>
      </c>
      <c r="G60">
        <f t="shared" si="12"/>
        <v>5</v>
      </c>
      <c r="H60">
        <f t="shared" si="13"/>
        <v>5</v>
      </c>
      <c r="I60">
        <f t="shared" si="14"/>
        <v>10</v>
      </c>
      <c r="J60">
        <f t="shared" si="15"/>
        <v>5</v>
      </c>
      <c r="K60">
        <f t="shared" si="16"/>
        <v>5</v>
      </c>
      <c r="L60">
        <f>E60*2.75</f>
        <v>55</v>
      </c>
      <c r="M60">
        <f t="shared" si="17"/>
        <v>34</v>
      </c>
    </row>
    <row r="61" spans="1:13" ht="28">
      <c r="A61" s="2" t="s">
        <v>20</v>
      </c>
      <c r="B61" s="2">
        <f>VLOOKUP(A:A,[1]Sheet1!$D:$F,3,)</f>
        <v>50</v>
      </c>
      <c r="C61" s="2" t="str">
        <f>VLOOKUP(A:A,[1]Sheet1!$D:$F,2,)</f>
        <v>بالتوازي من بعد قيد الدعوى مع الخدمات المرتبطة</v>
      </c>
      <c r="D61" t="s">
        <v>81</v>
      </c>
      <c r="E61">
        <v>5</v>
      </c>
      <c r="F61">
        <f t="shared" si="0"/>
        <v>1.25</v>
      </c>
      <c r="G61">
        <f t="shared" si="12"/>
        <v>1.25</v>
      </c>
      <c r="H61">
        <f t="shared" si="13"/>
        <v>1.25</v>
      </c>
      <c r="I61">
        <f t="shared" si="14"/>
        <v>2.5</v>
      </c>
      <c r="J61">
        <f t="shared" si="15"/>
        <v>1.25</v>
      </c>
      <c r="K61">
        <f t="shared" si="16"/>
        <v>1.25</v>
      </c>
      <c r="L61">
        <f>E61*2.75</f>
        <v>13.75</v>
      </c>
      <c r="M61">
        <f t="shared" si="17"/>
        <v>8.5</v>
      </c>
    </row>
    <row r="62" spans="1:13" ht="28">
      <c r="A62" s="2" t="s">
        <v>57</v>
      </c>
      <c r="B62" s="2">
        <f>VLOOKUP(A:A,[1]Sheet1!$D:$F,3,)</f>
        <v>51</v>
      </c>
      <c r="C62" s="2" t="str">
        <f>VLOOKUP(A:A,[1]Sheet1!$D:$F,2,)</f>
        <v>بالتوازي من بعد قيد الدعوى مع الخدمات المرتبطة</v>
      </c>
      <c r="D62" t="s">
        <v>80</v>
      </c>
      <c r="E62">
        <v>15</v>
      </c>
      <c r="F62">
        <f t="shared" si="0"/>
        <v>3.75</v>
      </c>
      <c r="G62">
        <f t="shared" si="12"/>
        <v>3.75</v>
      </c>
      <c r="H62">
        <f t="shared" si="13"/>
        <v>3.75</v>
      </c>
      <c r="I62">
        <f t="shared" si="14"/>
        <v>7.5</v>
      </c>
      <c r="J62">
        <f t="shared" si="15"/>
        <v>3.75</v>
      </c>
      <c r="K62">
        <f t="shared" si="16"/>
        <v>3.75</v>
      </c>
      <c r="L62">
        <f t="shared" ref="L62:L67" si="19">E62*2.75</f>
        <v>41.25</v>
      </c>
      <c r="M62">
        <f t="shared" si="17"/>
        <v>25.5</v>
      </c>
    </row>
    <row r="63" spans="1:13">
      <c r="A63" s="3" t="s">
        <v>55</v>
      </c>
      <c r="B63" s="3">
        <f>VLOOKUP(A:A,[1]Sheet1!$D:$F,3,)</f>
        <v>52</v>
      </c>
      <c r="C63" s="3"/>
      <c r="D63" t="s">
        <v>80</v>
      </c>
      <c r="E63">
        <v>15</v>
      </c>
      <c r="F63">
        <f t="shared" si="0"/>
        <v>3.75</v>
      </c>
      <c r="G63">
        <f t="shared" si="12"/>
        <v>3.75</v>
      </c>
      <c r="H63">
        <f t="shared" si="13"/>
        <v>3.75</v>
      </c>
      <c r="I63">
        <f t="shared" si="14"/>
        <v>7.5</v>
      </c>
      <c r="J63">
        <f t="shared" si="15"/>
        <v>3.75</v>
      </c>
      <c r="K63">
        <f t="shared" si="16"/>
        <v>3.75</v>
      </c>
      <c r="L63">
        <f t="shared" si="19"/>
        <v>41.25</v>
      </c>
      <c r="M63">
        <f t="shared" si="17"/>
        <v>25.5</v>
      </c>
    </row>
    <row r="64" spans="1:13">
      <c r="A64" s="2" t="s">
        <v>52</v>
      </c>
      <c r="B64" s="2">
        <f>VLOOKUP(A:A,[1]Sheet1!$D:$F,3,)</f>
        <v>53</v>
      </c>
      <c r="C64" s="2"/>
      <c r="D64" t="s">
        <v>80</v>
      </c>
      <c r="E64">
        <v>15</v>
      </c>
      <c r="F64">
        <f t="shared" si="0"/>
        <v>3.75</v>
      </c>
      <c r="G64">
        <f t="shared" si="12"/>
        <v>3.75</v>
      </c>
      <c r="H64">
        <f t="shared" si="13"/>
        <v>3.75</v>
      </c>
      <c r="I64">
        <f t="shared" si="14"/>
        <v>7.5</v>
      </c>
      <c r="J64">
        <f t="shared" si="15"/>
        <v>3.75</v>
      </c>
      <c r="K64">
        <f t="shared" si="16"/>
        <v>3.75</v>
      </c>
      <c r="L64">
        <f t="shared" si="19"/>
        <v>41.25</v>
      </c>
      <c r="M64">
        <f t="shared" si="17"/>
        <v>25.5</v>
      </c>
    </row>
    <row r="65" spans="1:13">
      <c r="A65" s="2" t="s">
        <v>53</v>
      </c>
      <c r="B65" s="2">
        <f>VLOOKUP(A:A,[1]Sheet1!$D:$F,3,)</f>
        <v>54</v>
      </c>
      <c r="C65" s="2"/>
      <c r="D65" t="s">
        <v>80</v>
      </c>
      <c r="E65">
        <v>15</v>
      </c>
      <c r="F65">
        <f t="shared" si="0"/>
        <v>3.75</v>
      </c>
      <c r="G65">
        <f t="shared" si="12"/>
        <v>3.75</v>
      </c>
      <c r="H65">
        <f t="shared" si="13"/>
        <v>3.75</v>
      </c>
      <c r="I65">
        <f t="shared" si="14"/>
        <v>7.5</v>
      </c>
      <c r="J65">
        <f t="shared" si="15"/>
        <v>3.75</v>
      </c>
      <c r="K65">
        <f t="shared" si="16"/>
        <v>3.75</v>
      </c>
      <c r="L65">
        <f t="shared" si="19"/>
        <v>41.25</v>
      </c>
      <c r="M65">
        <f t="shared" si="17"/>
        <v>25.5</v>
      </c>
    </row>
    <row r="66" spans="1:13">
      <c r="A66" s="2" t="s">
        <v>58</v>
      </c>
      <c r="B66" s="2">
        <f>VLOOKUP(A:A,[1]Sheet1!$D:$F,3,)</f>
        <v>55</v>
      </c>
      <c r="C66" s="2"/>
      <c r="D66" t="s">
        <v>80</v>
      </c>
      <c r="E66">
        <v>15</v>
      </c>
      <c r="F66">
        <f t="shared" si="0"/>
        <v>3.75</v>
      </c>
      <c r="G66">
        <f t="shared" si="12"/>
        <v>3.75</v>
      </c>
      <c r="H66">
        <f t="shared" si="13"/>
        <v>3.75</v>
      </c>
      <c r="I66">
        <f t="shared" si="14"/>
        <v>7.5</v>
      </c>
      <c r="J66">
        <f t="shared" si="15"/>
        <v>3.75</v>
      </c>
      <c r="K66">
        <f t="shared" si="16"/>
        <v>3.75</v>
      </c>
      <c r="L66">
        <f t="shared" si="19"/>
        <v>41.25</v>
      </c>
      <c r="M66">
        <f t="shared" si="17"/>
        <v>25.5</v>
      </c>
    </row>
    <row r="67" spans="1:13">
      <c r="A67" s="2" t="s">
        <v>51</v>
      </c>
      <c r="B67" s="2">
        <f>VLOOKUP(A:A,[1]Sheet1!$D:$F,3,)</f>
        <v>56</v>
      </c>
      <c r="C67" s="2"/>
      <c r="D67" t="s">
        <v>80</v>
      </c>
      <c r="E67">
        <v>15</v>
      </c>
      <c r="F67">
        <f t="shared" ref="F67:F72" si="20">E67*0.25</f>
        <v>3.75</v>
      </c>
      <c r="G67">
        <f t="shared" si="12"/>
        <v>3.75</v>
      </c>
      <c r="H67">
        <f t="shared" si="13"/>
        <v>3.75</v>
      </c>
      <c r="I67">
        <f t="shared" si="14"/>
        <v>7.5</v>
      </c>
      <c r="J67">
        <f t="shared" si="15"/>
        <v>3.75</v>
      </c>
      <c r="K67">
        <f t="shared" si="16"/>
        <v>3.75</v>
      </c>
      <c r="L67">
        <f t="shared" si="19"/>
        <v>41.25</v>
      </c>
      <c r="M67">
        <f t="shared" si="17"/>
        <v>25.5</v>
      </c>
    </row>
    <row r="68" spans="1:13">
      <c r="A68" s="2" t="s">
        <v>7</v>
      </c>
      <c r="B68" s="2">
        <v>57</v>
      </c>
      <c r="C68" s="2"/>
      <c r="D68" t="s">
        <v>78</v>
      </c>
      <c r="E68">
        <v>30</v>
      </c>
      <c r="F68">
        <f t="shared" si="20"/>
        <v>7.5</v>
      </c>
      <c r="G68">
        <f t="shared" si="12"/>
        <v>7.5</v>
      </c>
      <c r="H68">
        <f t="shared" si="13"/>
        <v>7.5</v>
      </c>
      <c r="I68">
        <f t="shared" si="14"/>
        <v>15</v>
      </c>
      <c r="J68">
        <f t="shared" si="15"/>
        <v>7.5</v>
      </c>
      <c r="K68">
        <f t="shared" si="16"/>
        <v>7.5</v>
      </c>
      <c r="L68">
        <f>E68*2.75</f>
        <v>82.5</v>
      </c>
      <c r="M68">
        <f t="shared" si="17"/>
        <v>51</v>
      </c>
    </row>
    <row r="69" spans="1:13">
      <c r="A69" s="3" t="s">
        <v>21</v>
      </c>
      <c r="B69" s="3">
        <v>57</v>
      </c>
      <c r="C69" s="3"/>
      <c r="D69" t="s">
        <v>81</v>
      </c>
      <c r="E69">
        <v>5</v>
      </c>
      <c r="F69">
        <f t="shared" si="20"/>
        <v>1.25</v>
      </c>
      <c r="G69">
        <f t="shared" si="12"/>
        <v>1.25</v>
      </c>
      <c r="H69">
        <f t="shared" si="13"/>
        <v>1.25</v>
      </c>
      <c r="I69">
        <f t="shared" si="14"/>
        <v>2.5</v>
      </c>
      <c r="J69">
        <f t="shared" si="15"/>
        <v>1.25</v>
      </c>
      <c r="K69">
        <f t="shared" si="16"/>
        <v>1.25</v>
      </c>
      <c r="L69">
        <f t="shared" ref="L69:L72" si="21">E69*2.75</f>
        <v>13.75</v>
      </c>
      <c r="M69">
        <f t="shared" si="17"/>
        <v>8.5</v>
      </c>
    </row>
    <row r="70" spans="1:13">
      <c r="A70" s="3" t="s">
        <v>49</v>
      </c>
      <c r="B70" s="3">
        <v>57</v>
      </c>
      <c r="C70" s="3"/>
      <c r="D70" t="s">
        <v>81</v>
      </c>
      <c r="E70">
        <v>5</v>
      </c>
      <c r="F70">
        <f t="shared" si="20"/>
        <v>1.25</v>
      </c>
      <c r="G70">
        <f t="shared" si="12"/>
        <v>1.25</v>
      </c>
      <c r="H70">
        <f t="shared" si="13"/>
        <v>1.25</v>
      </c>
      <c r="I70">
        <f t="shared" si="14"/>
        <v>2.5</v>
      </c>
      <c r="J70">
        <f t="shared" si="15"/>
        <v>1.25</v>
      </c>
      <c r="K70">
        <f t="shared" si="16"/>
        <v>1.25</v>
      </c>
      <c r="L70">
        <f t="shared" si="21"/>
        <v>13.75</v>
      </c>
      <c r="M70">
        <f t="shared" si="17"/>
        <v>8.5</v>
      </c>
    </row>
    <row r="71" spans="1:13">
      <c r="A71" s="3" t="s">
        <v>27</v>
      </c>
      <c r="B71" s="3">
        <v>58</v>
      </c>
      <c r="C71" s="3"/>
      <c r="D71" t="s">
        <v>81</v>
      </c>
      <c r="E71">
        <v>5</v>
      </c>
      <c r="F71">
        <f t="shared" si="20"/>
        <v>1.25</v>
      </c>
      <c r="G71">
        <f t="shared" si="12"/>
        <v>1.25</v>
      </c>
      <c r="H71">
        <f t="shared" si="13"/>
        <v>1.25</v>
      </c>
      <c r="I71">
        <f t="shared" si="14"/>
        <v>2.5</v>
      </c>
      <c r="J71">
        <f t="shared" si="15"/>
        <v>1.25</v>
      </c>
      <c r="K71">
        <f t="shared" si="16"/>
        <v>1.25</v>
      </c>
      <c r="L71">
        <f t="shared" si="21"/>
        <v>13.75</v>
      </c>
      <c r="M71">
        <f t="shared" si="17"/>
        <v>8.5</v>
      </c>
    </row>
    <row r="72" spans="1:13">
      <c r="D72" t="s">
        <v>82</v>
      </c>
      <c r="E72">
        <f>SUM(E2:E71)</f>
        <v>1025</v>
      </c>
      <c r="F72">
        <f t="shared" si="20"/>
        <v>256.25</v>
      </c>
      <c r="G72">
        <f t="shared" si="12"/>
        <v>256.25</v>
      </c>
      <c r="H72">
        <f t="shared" si="13"/>
        <v>256.25</v>
      </c>
      <c r="I72">
        <f t="shared" si="14"/>
        <v>512.5</v>
      </c>
      <c r="J72">
        <f t="shared" si="15"/>
        <v>256.25</v>
      </c>
      <c r="K72">
        <f t="shared" si="16"/>
        <v>256.25</v>
      </c>
      <c r="L72">
        <f t="shared" si="21"/>
        <v>2818.75</v>
      </c>
      <c r="M72">
        <f>SUM(M2:M71)</f>
        <v>1672.5</v>
      </c>
    </row>
    <row r="73" spans="1:13">
      <c r="D73" t="s">
        <v>85</v>
      </c>
      <c r="E73">
        <v>300</v>
      </c>
      <c r="L73">
        <v>300</v>
      </c>
    </row>
    <row r="74" spans="1:13">
      <c r="D74" t="s">
        <v>83</v>
      </c>
      <c r="E74">
        <v>700</v>
      </c>
      <c r="L74">
        <v>700</v>
      </c>
    </row>
    <row r="75" spans="1:13">
      <c r="D75" t="s">
        <v>84</v>
      </c>
      <c r="E75">
        <v>1470</v>
      </c>
      <c r="L75">
        <v>1470</v>
      </c>
    </row>
    <row r="76" spans="1:13">
      <c r="D76" t="s">
        <v>87</v>
      </c>
      <c r="E76">
        <f>E72+E73+E74+E75</f>
        <v>3495</v>
      </c>
      <c r="L76">
        <f>L72+L73+L74+L75</f>
        <v>5288.75</v>
      </c>
    </row>
    <row r="77" spans="1:13">
      <c r="D77" t="s">
        <v>86</v>
      </c>
      <c r="E77">
        <v>1000</v>
      </c>
      <c r="L77">
        <v>1000</v>
      </c>
    </row>
    <row r="78" spans="1:13">
      <c r="D78" t="s">
        <v>95</v>
      </c>
      <c r="E78">
        <v>264</v>
      </c>
      <c r="L78">
        <v>264</v>
      </c>
    </row>
    <row r="79" spans="1:13">
      <c r="K79" t="s">
        <v>96</v>
      </c>
      <c r="L79">
        <f>L78+L77+L76</f>
        <v>6552.75</v>
      </c>
    </row>
  </sheetData>
  <sortState xmlns:xlrd2="http://schemas.microsoft.com/office/spreadsheetml/2017/richdata2" ref="A2:C71">
    <sortCondition ref="B2:B71"/>
  </sortState>
  <mergeCells count="22">
    <mergeCell ref="F3:F9"/>
    <mergeCell ref="G3:G9"/>
    <mergeCell ref="H3:H9"/>
    <mergeCell ref="I3:I9"/>
    <mergeCell ref="K3:K9"/>
    <mergeCell ref="J3:J9"/>
    <mergeCell ref="M3:M9"/>
    <mergeCell ref="M40:M54"/>
    <mergeCell ref="C3:C9"/>
    <mergeCell ref="E3:E9"/>
    <mergeCell ref="L3:L9"/>
    <mergeCell ref="D3:D9"/>
    <mergeCell ref="C40:C54"/>
    <mergeCell ref="D40:D54"/>
    <mergeCell ref="E40:E54"/>
    <mergeCell ref="L40:L54"/>
    <mergeCell ref="F40:F54"/>
    <mergeCell ref="G40:G54"/>
    <mergeCell ref="H40:H54"/>
    <mergeCell ref="I40:I54"/>
    <mergeCell ref="J40:J54"/>
    <mergeCell ref="K40:K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Fouad</dc:creator>
  <cp:lastModifiedBy>Abdelrahman Doghish</cp:lastModifiedBy>
  <dcterms:created xsi:type="dcterms:W3CDTF">2026-03-30T04:53:54Z</dcterms:created>
  <dcterms:modified xsi:type="dcterms:W3CDTF">2026-04-02T12:11:11Z</dcterms:modified>
</cp:coreProperties>
</file>