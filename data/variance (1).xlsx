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25" firstSheet="3" activeTab="6" autoFilterDateGrouping="1"/>
  </bookViews>
  <sheets>
    <sheet xmlns:r="http://schemas.openxmlformats.org/officeDocument/2006/relationships" name="Budget - Consultation" sheetId="1" state="visible" r:id="rId1"/>
    <sheet xmlns:r="http://schemas.openxmlformats.org/officeDocument/2006/relationships" name="Budget - Development" sheetId="2" state="visible" r:id="rId2"/>
    <sheet xmlns:r="http://schemas.openxmlformats.org/officeDocument/2006/relationships" name="Budget - Support" sheetId="3" state="visible" r:id="rId3"/>
    <sheet xmlns:r="http://schemas.openxmlformats.org/officeDocument/2006/relationships" name="Profitability - Development" sheetId="4" state="visible" r:id="rId4"/>
    <sheet xmlns:r="http://schemas.openxmlformats.org/officeDocument/2006/relationships" name="Current Effort - Development" sheetId="5" state="visible" r:id="rId5"/>
    <sheet xmlns:r="http://schemas.openxmlformats.org/officeDocument/2006/relationships" name="Current Effort - Consultation" sheetId="6" state="visible" r:id="rId6"/>
    <sheet xmlns:r="http://schemas.openxmlformats.org/officeDocument/2006/relationships" name="Profitability - Consultation" sheetId="7" state="visible" r:id="rId7"/>
    <sheet xmlns:r="http://schemas.openxmlformats.org/officeDocument/2006/relationships" name="Help" sheetId="8" state="hidden" r:id="rId8"/>
    <sheet xmlns:r="http://schemas.openxmlformats.org/officeDocument/2006/relationships" name="Estimated Cost (2)" sheetId="9" state="hidden" r:id="rId9"/>
    <sheet xmlns:r="http://schemas.openxmlformats.org/officeDocument/2006/relationships" name="Estimated Cost - Development" sheetId="10" state="visible" r:id="rId10"/>
    <sheet xmlns:r="http://schemas.openxmlformats.org/officeDocument/2006/relationships" name="Estimated Cost - Consultation" sheetId="11" state="visible" r:id="rId11"/>
    <sheet xmlns:r="http://schemas.openxmlformats.org/officeDocument/2006/relationships" name="Estimated Cost - Support" sheetId="12" state="visible" r:id="rId12"/>
    <sheet xmlns:r="http://schemas.openxmlformats.org/officeDocument/2006/relationships" name="Charts" sheetId="13" state="hidden" r:id="rId13"/>
    <sheet xmlns:r="http://schemas.openxmlformats.org/officeDocument/2006/relationships" name="Positions2024" sheetId="14" state="hidden" r:id="rId14"/>
    <sheet xmlns:r="http://schemas.openxmlformats.org/officeDocument/2006/relationships" name="Positions" sheetId="15" state="hidden" r:id="rId15"/>
    <sheet xmlns:r="http://schemas.openxmlformats.org/officeDocument/2006/relationships" name="data" sheetId="16" state="hidden" r:id="rId16"/>
    <sheet xmlns:r="http://schemas.openxmlformats.org/officeDocument/2006/relationships" name="Positions2024 " sheetId="17" state="visible" r:id="rId17"/>
    <sheet xmlns:r="http://schemas.openxmlformats.org/officeDocument/2006/relationships" name="Tunis Rates" sheetId="18" state="visible" r:id="rId18"/>
  </sheets>
  <externalReferences>
    <externalReference xmlns:r="http://schemas.openxmlformats.org/officeDocument/2006/relationships" r:id="rId19"/>
  </externalReferences>
  <definedNames/>
  <calcPr calcId="191028" fullCalcOnLoad="1"/>
</workbook>
</file>

<file path=xl/styles.xml><?xml version="1.0" encoding="utf-8"?>
<styleSheet xmlns="http://schemas.openxmlformats.org/spreadsheetml/2006/main">
  <numFmts count="14">
    <numFmt numFmtId="164" formatCode="[$USD]\ #,##0"/>
    <numFmt numFmtId="165" formatCode="_-* #,##0.00\ [$USD]_-;\-* #,##0.00\ [$USD]_-;_-* &quot;-&quot;??\ [$USD]_-;_-@"/>
    <numFmt numFmtId="166" formatCode="_-* #,##0.00\ [$SAR]_-;\-* #,##0.00\ [$SAR]_-;_-* &quot;-&quot;??\ [$SAR]_-;_-@"/>
    <numFmt numFmtId="167" formatCode="_-* #,##0.00_-;\-* #,##0.00_-;_-* &quot;-&quot;??_-;_-@"/>
    <numFmt numFmtId="168" formatCode="_([$SAR]\ * #,##0.00_);_([$SAR]\ * \(#,##0.00\);_([$SAR]\ * &quot;-&quot;??_);_(@_)"/>
    <numFmt numFmtId="169" formatCode="_([$USD]\ * #,##0.00_);_([$USD]\ * \(#,##0.00\);_([$USD]\ * &quot;-&quot;??_);_(@_)"/>
    <numFmt numFmtId="170" formatCode="_(* #,##0_);_(* \(#,##0\);_(* &quot;-&quot;??_);_(@_)"/>
    <numFmt numFmtId="171" formatCode="_(&quot;$&quot;* #,##0.0_);_(&quot;$&quot;* \(#,##0.0\);_(&quot;$&quot;* &quot;-&quot;??_);_(@_)"/>
    <numFmt numFmtId="172" formatCode="[$USD]\ #,##0.00"/>
    <numFmt numFmtId="173" formatCode="_([$$-409]* #,##0.00_);_([$$-409]* \(#,##0.00\);_([$$-409]* &quot;-&quot;??_);_(@_)"/>
    <numFmt numFmtId="174" formatCode="_(* #,##0.0_);_(* \(#,##0.0\);_(* &quot;-&quot;?_);_(@_)"/>
    <numFmt numFmtId="175" formatCode="&quot;$&quot;#,##0.00"/>
    <numFmt numFmtId="176" formatCode="0.00000%"/>
    <numFmt numFmtId="177" formatCode="_-* #,##0.00_-;\-* #,##0.00_-;_-* &quot;-&quot;??_-;_-@_-"/>
  </numFmts>
  <fonts count="47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1"/>
    </font>
    <font>
      <name val="Calibri"/>
      <family val="2"/>
      <b val="1"/>
      <color rgb="FF44546A"/>
      <sz val="13"/>
    </font>
    <font>
      <name val="Calibri"/>
      <family val="2"/>
      <b val="1"/>
      <color rgb="FF2E75B5"/>
      <sz val="11"/>
    </font>
    <font>
      <name val="Calibri"/>
      <family val="2"/>
      <color rgb="FF548135"/>
      <sz val="11"/>
    </font>
    <font>
      <name val="Arial"/>
      <family val="2"/>
      <sz val="11"/>
      <scheme val="minor"/>
    </font>
    <font>
      <name val="Arial"/>
      <family val="2"/>
      <b val="1"/>
      <color theme="8"/>
      <sz val="10"/>
    </font>
    <font>
      <name val="Calibri"/>
      <family val="2"/>
      <color theme="1"/>
      <sz val="12"/>
    </font>
    <font>
      <name val="Calibri "/>
      <b val="1"/>
      <color theme="1"/>
      <sz val="12"/>
    </font>
    <font>
      <name val="Calibri "/>
      <color theme="1"/>
      <sz val="12"/>
    </font>
    <font>
      <name val="Arial"/>
      <family val="2"/>
      <b val="1"/>
      <sz val="11"/>
    </font>
    <font>
      <name val="Calibri "/>
      <b val="1"/>
      <sz val="12"/>
    </font>
    <font>
      <name val="Arial"/>
      <family val="2"/>
      <b val="1"/>
      <color theme="8"/>
      <sz val="11"/>
      <scheme val="minor"/>
    </font>
    <font>
      <name val="Arial"/>
      <family val="2"/>
      <color theme="1"/>
      <sz val="11"/>
      <u val="single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color theme="1"/>
      <sz val="14"/>
      <scheme val="minor"/>
    </font>
    <font>
      <name val="Arial"/>
      <family val="2"/>
      <b val="1"/>
      <color theme="0"/>
      <sz val="11"/>
      <scheme val="minor"/>
    </font>
    <font>
      <name val="Arial"/>
      <family val="2"/>
      <b val="1"/>
      <color theme="0"/>
      <sz val="14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 tint="0.499984740745262"/>
      <sz val="12"/>
      <scheme val="minor"/>
    </font>
    <font>
      <name val="Arial"/>
      <family val="2"/>
      <b val="1"/>
      <color theme="0"/>
      <sz val="12"/>
      <scheme val="minor"/>
    </font>
    <font>
      <name val="Arial"/>
      <family val="2"/>
      <sz val="8"/>
      <scheme val="minor"/>
    </font>
    <font>
      <name val="Calibri"/>
      <family val="2"/>
      <b val="1"/>
      <color rgb="FFC00000"/>
      <sz val="11"/>
    </font>
    <font>
      <name val="Calibri"/>
      <family val="2"/>
      <sz val="11"/>
    </font>
    <font>
      <name val="Calibri"/>
      <family val="2"/>
      <b val="1"/>
      <sz val="14"/>
    </font>
    <font>
      <name val="Calibri "/>
      <b val="1"/>
      <color rgb="FF000000"/>
      <sz val="12"/>
    </font>
    <font>
      <name val="Calibri"/>
      <family val="2"/>
      <color rgb="FFFF0000"/>
      <sz val="11"/>
    </font>
    <font>
      <name val="Calibri"/>
      <family val="2"/>
      <b val="1"/>
      <color theme="4" tint="-0.249977111117893"/>
      <sz val="11"/>
    </font>
    <font>
      <name val="Arial"/>
      <family val="2"/>
      <b val="1"/>
      <color rgb="FF0113FF"/>
      <sz val="20"/>
    </font>
    <font>
      <name val="Calibri"/>
      <family val="2"/>
      <b val="1"/>
      <color theme="4" tint="-0.249977111117893"/>
      <sz val="12"/>
    </font>
    <font>
      <name val="Arial"/>
      <family val="2"/>
      <color rgb="FF0113FF"/>
      <sz val="11"/>
      <scheme val="minor"/>
    </font>
    <font>
      <name val="Arial"/>
      <family val="2"/>
      <b val="1"/>
      <color theme="4" tint="-0.249977111117893"/>
      <sz val="11"/>
    </font>
    <font>
      <name val="Arial"/>
      <family val="2"/>
      <b val="1"/>
      <color rgb="FF0113FF"/>
      <sz val="16"/>
      <u val="single"/>
    </font>
    <font>
      <name val="Arial"/>
      <family val="2"/>
      <b val="1"/>
      <color rgb="FF0113FF"/>
      <sz val="12"/>
      <u val="single"/>
    </font>
    <font>
      <name val="Arial"/>
      <family val="2"/>
      <b val="1"/>
      <color rgb="FF0113FF"/>
      <sz val="12"/>
    </font>
    <font>
      <name val="Calibri"/>
      <family val="2"/>
      <b val="1"/>
      <color rgb="FF000000"/>
      <sz val="11"/>
    </font>
    <font>
      <name val="Calibri"/>
      <family val="2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6"/>
      <scheme val="minor"/>
    </font>
  </fonts>
  <fills count="36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5A5A5"/>
        <bgColor rgb="FFA5A5A5"/>
      </patternFill>
    </fill>
    <fill>
      <patternFill patternType="solid">
        <fgColor theme="2" tint="-0.09997863704336681"/>
        <bgColor rgb="FF808080"/>
      </patternFill>
    </fill>
    <fill>
      <patternFill patternType="solid">
        <fgColor theme="2"/>
        <bgColor rgb="FF808080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rgb="FF80808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D6DCE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499984740745262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0113FF"/>
        <bgColor indexed="64"/>
      </patternFill>
    </fill>
    <fill>
      <patternFill patternType="solid">
        <fgColor rgb="FF0113FF"/>
        <bgColor rgb="FF404040"/>
      </patternFill>
    </fill>
    <fill>
      <patternFill patternType="solid">
        <fgColor theme="0" tint="-0.0499893185216834"/>
        <bgColor rgb="FF808080"/>
      </patternFill>
    </fill>
    <fill>
      <patternFill patternType="solid">
        <fgColor theme="0" tint="-0.0499893185216834"/>
        <bgColor rgb="FFE7E6E6"/>
      </patternFill>
    </fill>
    <fill>
      <patternFill patternType="solid">
        <fgColor rgb="FF0113FF"/>
        <bgColor rgb="FF3A3838"/>
      </patternFill>
    </fill>
    <fill>
      <patternFill patternType="solid">
        <fgColor theme="0" tint="-0.1499984740745262"/>
        <bgColor rgb="FFA5A5A5"/>
      </patternFill>
    </fill>
    <fill>
      <patternFill patternType="solid">
        <fgColor theme="0" tint="-0.1499984740745262"/>
        <bgColor rgb="FFF2F2F2"/>
      </patternFill>
    </fill>
    <fill>
      <patternFill patternType="solid">
        <fgColor theme="0" tint="-0.0499893185216834"/>
        <bgColor rgb="FFA5A5A5"/>
      </patternFill>
    </fill>
    <fill>
      <patternFill patternType="solid">
        <fgColor theme="4" tint="0.7999816888943144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thin">
        <color rgb="FFCCCCCC"/>
      </bottom>
      <diagonal/>
    </border>
    <border>
      <left style="thin">
        <color theme="2"/>
      </left>
      <right/>
      <top/>
      <bottom style="thin">
        <color rgb="FFCCCCCC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2" tint="-0.249977111117893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/>
      <bottom style="medium">
        <color rgb="FF5B9BD5"/>
      </bottom>
      <diagonal/>
    </border>
    <border>
      <left/>
      <right style="thin">
        <color theme="0" tint="-0.3499862666707358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3499862666707358"/>
      </left>
      <right/>
      <top style="thin">
        <color theme="0" tint="-0.1499984740745262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1499984740745262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1499984740745262"/>
      </top>
      <bottom/>
      <diagonal/>
    </border>
    <border>
      <left/>
      <right style="thin">
        <color theme="0" tint="-0.3499862666707358"/>
      </right>
      <top style="thin">
        <color theme="0" tint="-0.1499984740745262"/>
      </top>
      <bottom/>
      <diagonal/>
    </border>
    <border>
      <left style="thin">
        <color theme="0" tint="-0.3499862666707358"/>
      </left>
      <right style="thin">
        <color rgb="FF0113FF"/>
      </right>
      <top/>
      <bottom/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thin">
        <color rgb="FF0113FF"/>
      </left>
      <right/>
      <top style="thin">
        <color rgb="FF0113FF"/>
      </top>
      <bottom style="thin">
        <color rgb="FF0113FF"/>
      </bottom>
      <diagonal/>
    </border>
    <border>
      <left/>
      <right style="thin">
        <color rgb="FF0113FF"/>
      </right>
      <top style="thin">
        <color rgb="FF0113FF"/>
      </top>
      <bottom style="thin">
        <color rgb="FF0113FF"/>
      </bottom>
      <diagonal/>
    </border>
    <border>
      <left style="thin">
        <color theme="0" tint="-0.3499862666707358"/>
      </left>
      <right style="thin">
        <color rgb="FF0113FF"/>
      </right>
      <top style="thin">
        <color theme="0" tint="-0.3499862666707358"/>
      </top>
      <bottom style="thin">
        <color theme="0" tint="-0.1499984740745262"/>
      </bottom>
      <diagonal/>
    </border>
    <border>
      <left style="thin">
        <color theme="0" tint="-0.3499862666707358"/>
      </left>
      <right style="thin">
        <color rgb="FF0113FF"/>
      </right>
      <top/>
      <bottom style="thin">
        <color theme="0" tint="-0.3499862666707358"/>
      </bottom>
      <diagonal/>
    </border>
    <border>
      <left/>
      <right/>
      <top style="thin">
        <color rgb="FF0113FF"/>
      </top>
      <bottom style="thin">
        <color rgb="FF0113FF"/>
      </bottom>
      <diagonal/>
    </border>
    <border>
      <left/>
      <right/>
      <top style="thin">
        <color theme="0" tint="-0.1499984740745262"/>
      </top>
      <bottom style="thin">
        <color rgb="FF0113FF"/>
      </bottom>
      <diagonal/>
    </border>
    <border>
      <left/>
      <right style="thin">
        <color theme="0" tint="-0.3499862666707358"/>
      </right>
      <top style="thin">
        <color theme="0" tint="-0.1499984740745262"/>
      </top>
      <bottom style="thin">
        <color rgb="FF0113FF"/>
      </bottom>
      <diagonal/>
    </border>
    <border>
      <left style="thin">
        <color rgb="FFCCCCCC"/>
      </left>
      <right/>
      <top/>
      <bottom/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ck">
        <color rgb="FF0113FF"/>
      </right>
      <top style="medium">
        <color rgb="FF5B9BD5"/>
      </top>
      <bottom style="medium">
        <color rgb="FF5B9BD5"/>
      </bottom>
      <diagonal/>
    </border>
    <border>
      <left style="thin">
        <color rgb="FFCCCCCC"/>
      </left>
      <right style="thick">
        <color rgb="FF0113FF"/>
      </right>
      <top/>
      <bottom/>
      <diagonal/>
    </border>
    <border>
      <left style="thin">
        <color theme="0" tint="-0.1499984740745262"/>
      </left>
      <right style="thick">
        <color rgb="FF0113FF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2" tint="-0.249977111117893"/>
      </left>
      <right style="thick">
        <color rgb="FF0113FF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ck">
        <color rgb="FF0113FF"/>
      </right>
      <top/>
      <bottom/>
      <diagonal/>
    </border>
    <border>
      <left style="thick">
        <color rgb="FF0113FF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2" tint="-0.249977111117893"/>
      </left>
      <right/>
      <top/>
      <bottom style="medium">
        <color rgb="FF5B9BD5"/>
      </bottom>
      <diagonal/>
    </border>
    <border>
      <left/>
      <right style="thick">
        <color rgb="FF0113FF"/>
      </right>
      <top/>
      <bottom style="medium">
        <color rgb="FF5B9BD5"/>
      </bottom>
      <diagonal/>
    </border>
    <border>
      <left style="thick">
        <color rgb="FF0113FF"/>
      </left>
      <right/>
      <top/>
      <bottom style="medium">
        <color rgb="FF5B9BD5"/>
      </bottom>
      <diagonal/>
    </border>
    <border>
      <left/>
      <right style="thin">
        <color theme="2"/>
      </right>
      <top/>
      <bottom style="medium">
        <color rgb="FF5B9BD5"/>
      </bottom>
      <diagonal/>
    </border>
    <border>
      <left style="thick">
        <color rgb="FF0113FF"/>
      </left>
      <right/>
      <top/>
      <bottom/>
      <diagonal/>
    </border>
    <border>
      <left style="thin">
        <color rgb="FFCCCCCC"/>
      </left>
      <right style="thick">
        <color rgb="FF0113FF"/>
      </right>
      <top style="medium">
        <color rgb="FF5B9BD5"/>
      </top>
      <bottom/>
      <diagonal/>
    </border>
    <border>
      <left style="thick">
        <color rgb="FF0113FF"/>
      </left>
      <right/>
      <top style="medium">
        <color rgb="FF5B9BD5"/>
      </top>
      <bottom style="thin">
        <color theme="0" tint="-0.1499984740745262"/>
      </bottom>
      <diagonal/>
    </border>
    <border>
      <left/>
      <right/>
      <top style="thick">
        <color rgb="FFA1B8E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theme="2"/>
      </left>
      <right/>
      <top/>
      <bottom style="medium">
        <color rgb="FF5B9BD5"/>
      </bottom>
      <diagonal/>
    </border>
    <border>
      <left/>
      <right/>
      <top style="thin">
        <color theme="6" tint="0.3999755851924192"/>
      </top>
      <bottom style="thin">
        <color theme="6" tint="0.3999755851924192"/>
      </bottom>
      <diagonal/>
    </border>
    <border>
      <left/>
      <right/>
      <top style="thin">
        <color theme="6" tint="0.3999755851924192"/>
      </top>
      <bottom/>
      <diagonal/>
    </border>
    <border>
      <left style="thin">
        <color theme="6" tint="0.3999755851924192"/>
      </left>
      <right/>
      <top style="thin">
        <color theme="6" tint="0.3999755851924192"/>
      </top>
      <bottom style="thin">
        <color theme="6" tint="0.3999755851924192"/>
      </bottom>
      <diagonal/>
    </border>
    <border>
      <left/>
      <right style="thick">
        <color rgb="FF0113FF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/>
      <right/>
      <top style="thin">
        <color theme="0" tint="-0.1499984740745262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1499984740745262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1499984740745262"/>
      </top>
      <bottom style="thin">
        <color theme="0" tint="-0.3499862666707358"/>
      </bottom>
      <diagonal/>
    </border>
    <border>
      <left style="thin">
        <color theme="2" tint="-0.249977111117893"/>
      </left>
      <right style="thick">
        <color rgb="FF0113FF"/>
      </right>
      <top/>
      <bottom style="medium">
        <color rgb="FF5B9BD5"/>
      </bottom>
      <diagonal/>
    </border>
    <border>
      <left style="thick">
        <color rgb="FF0113FF"/>
      </left>
      <right style="thin">
        <color theme="2"/>
      </right>
      <top/>
      <bottom style="medium">
        <color rgb="FF5B9BD5"/>
      </bottom>
      <diagonal/>
    </border>
    <border>
      <left/>
      <right style="thin">
        <color theme="2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43" fontId="1" fillId="0" borderId="0"/>
    <xf numFmtId="177" fontId="1" fillId="0" borderId="0"/>
  </cellStyleXfs>
  <cellXfs count="351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6" borderId="0" applyAlignment="1" pivotButton="0" quotePrefix="0" xfId="0">
      <alignment wrapText="1"/>
    </xf>
    <xf numFmtId="0" fontId="7" fillId="0" borderId="0" pivotButton="0" quotePrefix="0" xfId="0"/>
    <xf numFmtId="0" fontId="5" fillId="7" borderId="0" pivotButton="0" quotePrefix="0" xfId="0"/>
    <xf numFmtId="0" fontId="5" fillId="3" borderId="0" pivotButton="0" quotePrefix="0" xfId="0"/>
    <xf numFmtId="164" fontId="5" fillId="0" borderId="0" pivotButton="0" quotePrefix="0" xfId="0"/>
    <xf numFmtId="165" fontId="5" fillId="7" borderId="0" pivotButton="0" quotePrefix="0" xfId="0"/>
    <xf numFmtId="166" fontId="5" fillId="3" borderId="0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vertical="center" wrapText="1"/>
    </xf>
    <xf numFmtId="49" fontId="12" fillId="5" borderId="7" applyAlignment="1" pivotButton="0" quotePrefix="0" xfId="0">
      <alignment horizontal="center" vertical="center"/>
    </xf>
    <xf numFmtId="0" fontId="16" fillId="4" borderId="7" applyAlignment="1" pivotButton="0" quotePrefix="0" xfId="0">
      <alignment horizontal="left" vertical="center" wrapText="1"/>
    </xf>
    <xf numFmtId="43" fontId="15" fillId="6" borderId="7" pivotButton="0" quotePrefix="0" xfId="0"/>
    <xf numFmtId="0" fontId="16" fillId="4" borderId="7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8" fillId="10" borderId="1" applyAlignment="1" pivotButton="0" quotePrefix="0" xfId="0">
      <alignment horizontal="center" wrapText="1"/>
    </xf>
    <xf numFmtId="0" fontId="8" fillId="0" borderId="17" applyAlignment="1" pivotButton="0" quotePrefix="0" xfId="0">
      <alignment horizontal="center"/>
    </xf>
    <xf numFmtId="167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167" fontId="2" fillId="12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8" fontId="0" fillId="0" borderId="0" pivotButton="0" quotePrefix="0" xfId="0"/>
    <xf numFmtId="0" fontId="22" fillId="13" borderId="0" pivotButton="0" quotePrefix="0" xfId="0"/>
    <xf numFmtId="168" fontId="22" fillId="13" borderId="0" pivotButton="0" quotePrefix="0" xfId="0"/>
    <xf numFmtId="15" fontId="0" fillId="0" borderId="7" applyAlignment="1" pivotButton="0" quotePrefix="0" xfId="0">
      <alignment horizontal="center"/>
    </xf>
    <xf numFmtId="3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6" fillId="4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3" fontId="0" fillId="0" borderId="0" pivotButton="0" quotePrefix="0" xfId="0"/>
    <xf numFmtId="0" fontId="8" fillId="0" borderId="17" applyAlignment="1" pivotButton="0" quotePrefix="0" xfId="0">
      <alignment horizontal="center" wrapText="1"/>
    </xf>
    <xf numFmtId="0" fontId="25" fillId="10" borderId="0" pivotButton="0" quotePrefix="0" xfId="0"/>
    <xf numFmtId="0" fontId="0" fillId="10" borderId="0" pivotButton="0" quotePrefix="0" xfId="0"/>
    <xf numFmtId="168" fontId="25" fillId="10" borderId="0" pivotButton="0" quotePrefix="0" xfId="0"/>
    <xf numFmtId="0" fontId="8" fillId="14" borderId="17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left"/>
    </xf>
    <xf numFmtId="0" fontId="0" fillId="16" borderId="18" pivotButton="0" quotePrefix="0" xfId="0"/>
    <xf numFmtId="0" fontId="25" fillId="15" borderId="8" pivotButton="0" quotePrefix="0" xfId="0"/>
    <xf numFmtId="0" fontId="25" fillId="15" borderId="20" pivotButton="0" quotePrefix="0" xfId="0"/>
    <xf numFmtId="0" fontId="26" fillId="0" borderId="0" pivotButton="0" quotePrefix="0" xfId="0"/>
    <xf numFmtId="0" fontId="0" fillId="17" borderId="19" pivotButton="0" quotePrefix="0" xfId="0"/>
    <xf numFmtId="43" fontId="17" fillId="19" borderId="7" pivotButton="0" quotePrefix="0" xfId="0"/>
    <xf numFmtId="43" fontId="14" fillId="19" borderId="7" pivotButton="0" quotePrefix="0" xfId="0"/>
    <xf numFmtId="9" fontId="14" fillId="19" borderId="7" pivotButton="0" quotePrefix="0" xfId="2"/>
    <xf numFmtId="49" fontId="12" fillId="5" borderId="8" applyAlignment="1" pivotButton="0" quotePrefix="0" xfId="0">
      <alignment horizontal="center" vertical="center"/>
    </xf>
    <xf numFmtId="0" fontId="3" fillId="2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27" fillId="20" borderId="8" pivotButton="0" quotePrefix="0" xfId="0"/>
    <xf numFmtId="2" fontId="0" fillId="0" borderId="0" pivotButton="0" quotePrefix="0" xfId="0"/>
    <xf numFmtId="9" fontId="0" fillId="0" borderId="0" pivotButton="0" quotePrefix="0" xfId="2"/>
    <xf numFmtId="0" fontId="25" fillId="0" borderId="0" pivotButton="0" quotePrefix="0" xfId="0"/>
    <xf numFmtId="1" fontId="21" fillId="21" borderId="0" pivotButton="0" quotePrefix="0" xfId="0"/>
    <xf numFmtId="167" fontId="0" fillId="0" borderId="0" pivotButton="0" quotePrefix="0" xfId="0"/>
    <xf numFmtId="1" fontId="0" fillId="0" borderId="0" pivotButton="0" quotePrefix="0" xfId="0"/>
    <xf numFmtId="169" fontId="5" fillId="0" borderId="0" pivotButton="0" quotePrefix="0" xfId="0"/>
    <xf numFmtId="0" fontId="7" fillId="22" borderId="0" pivotButton="0" quotePrefix="0" xfId="0"/>
    <xf numFmtId="166" fontId="7" fillId="22" borderId="0" applyAlignment="1" pivotButton="0" quotePrefix="0" xfId="0">
      <alignment horizontal="right"/>
    </xf>
    <xf numFmtId="3" fontId="0" fillId="0" borderId="0" pivotButton="0" quotePrefix="0" xfId="0"/>
    <xf numFmtId="0" fontId="31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/>
    </xf>
    <xf numFmtId="43" fontId="0" fillId="0" borderId="0" pivotButton="0" quotePrefix="0" xfId="3"/>
    <xf numFmtId="170" fontId="29" fillId="0" borderId="0" applyAlignment="1" pivotButton="0" quotePrefix="0" xfId="3">
      <alignment vertical="center"/>
    </xf>
    <xf numFmtId="0" fontId="5" fillId="0" borderId="0" applyAlignment="1" pivotButton="0" quotePrefix="0" xfId="0">
      <alignment horizontal="left"/>
    </xf>
    <xf numFmtId="165" fontId="0" fillId="7" borderId="0" pivotButton="0" quotePrefix="0" xfId="0"/>
    <xf numFmtId="0" fontId="5" fillId="0" borderId="0" applyAlignment="1" pivotButton="0" quotePrefix="0" xfId="0">
      <alignment horizontal="center"/>
    </xf>
    <xf numFmtId="43" fontId="14" fillId="18" borderId="7" pivotButton="0" quotePrefix="0" xfId="0"/>
    <xf numFmtId="171" fontId="32" fillId="18" borderId="7" applyAlignment="1" pivotButton="0" quotePrefix="0" xfId="1">
      <alignment horizontal="right"/>
    </xf>
    <xf numFmtId="172" fontId="5" fillId="0" borderId="0" pivotButton="0" quotePrefix="0" xfId="0"/>
    <xf numFmtId="0" fontId="31" fillId="14" borderId="0" applyAlignment="1" pivotButton="0" quotePrefix="0" xfId="0">
      <alignment horizontal="center" vertical="center" wrapText="1"/>
    </xf>
    <xf numFmtId="49" fontId="5" fillId="23" borderId="0" applyAlignment="1" pivotButton="0" quotePrefix="0" xfId="0">
      <alignment vertical="center"/>
    </xf>
    <xf numFmtId="164" fontId="5" fillId="23" borderId="0" pivotButton="0" quotePrefix="0" xfId="0"/>
    <xf numFmtId="49" fontId="33" fillId="23" borderId="0" applyAlignment="1" pivotButton="0" quotePrefix="0" xfId="0">
      <alignment horizontal="center" vertical="center"/>
    </xf>
    <xf numFmtId="49" fontId="5" fillId="24" borderId="0" applyAlignment="1" pivotButton="0" quotePrefix="0" xfId="0">
      <alignment vertical="center"/>
    </xf>
    <xf numFmtId="164" fontId="5" fillId="24" borderId="0" pivotButton="0" quotePrefix="0" xfId="0"/>
    <xf numFmtId="49" fontId="33" fillId="24" borderId="0" applyAlignment="1" pivotButton="0" quotePrefix="0" xfId="0">
      <alignment horizontal="center" vertical="center"/>
    </xf>
    <xf numFmtId="49" fontId="18" fillId="6" borderId="12" applyAlignment="1" pivotButton="0" quotePrefix="0" xfId="0">
      <alignment horizontal="center"/>
    </xf>
    <xf numFmtId="0" fontId="34" fillId="6" borderId="22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/>
    </xf>
    <xf numFmtId="39" fontId="5" fillId="17" borderId="23" pivotButton="0" quotePrefix="0" xfId="0"/>
    <xf numFmtId="4" fontId="5" fillId="0" borderId="23" pivotButton="0" quotePrefix="0" xfId="0"/>
    <xf numFmtId="166" fontId="10" fillId="0" borderId="23" pivotButton="0" quotePrefix="0" xfId="0"/>
    <xf numFmtId="9" fontId="11" fillId="0" borderId="23" pivotButton="0" quotePrefix="0" xfId="2"/>
    <xf numFmtId="0" fontId="0" fillId="0" borderId="23" pivotButton="0" quotePrefix="0" xfId="0"/>
    <xf numFmtId="0" fontId="37" fillId="0" borderId="0" pivotButton="0" quotePrefix="0" xfId="0"/>
    <xf numFmtId="9" fontId="1" fillId="0" borderId="23" pivotButton="0" quotePrefix="0" xfId="2"/>
    <xf numFmtId="170" fontId="0" fillId="0" borderId="23" pivotButton="0" quotePrefix="0" xfId="0"/>
    <xf numFmtId="0" fontId="3" fillId="26" borderId="2" applyAlignment="1" pivotButton="0" quotePrefix="0" xfId="0">
      <alignment horizontal="center"/>
    </xf>
    <xf numFmtId="0" fontId="38" fillId="4" borderId="7" applyAlignment="1" pivotButton="0" quotePrefix="0" xfId="0">
      <alignment horizontal="left" vertical="center" wrapText="1"/>
    </xf>
    <xf numFmtId="49" fontId="12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43" fontId="15" fillId="0" borderId="13" pivotButton="0" quotePrefix="0" xfId="0"/>
    <xf numFmtId="43" fontId="15" fillId="0" borderId="0" pivotButton="0" quotePrefix="0" xfId="0"/>
    <xf numFmtId="0" fontId="13" fillId="0" borderId="5" pivotButton="0" quotePrefix="0" xfId="0"/>
    <xf numFmtId="0" fontId="0" fillId="0" borderId="32" pivotButton="0" quotePrefix="0" xfId="0"/>
    <xf numFmtId="43" fontId="0" fillId="0" borderId="32" pivotButton="0" quotePrefix="0" xfId="0"/>
    <xf numFmtId="43" fontId="14" fillId="18" borderId="36" pivotButton="0" quotePrefix="0" xfId="0"/>
    <xf numFmtId="43" fontId="14" fillId="18" borderId="37" pivotButton="0" quotePrefix="0" xfId="0"/>
    <xf numFmtId="0" fontId="4" fillId="29" borderId="34" applyAlignment="1" pivotButton="0" quotePrefix="0" xfId="0">
      <alignment horizontal="center" vertical="center" wrapText="1"/>
    </xf>
    <xf numFmtId="0" fontId="4" fillId="29" borderId="38" applyAlignment="1" pivotButton="0" quotePrefix="0" xfId="0">
      <alignment horizontal="center" vertical="center" wrapText="1"/>
    </xf>
    <xf numFmtId="0" fontId="4" fillId="29" borderId="35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/>
    </xf>
    <xf numFmtId="15" fontId="0" fillId="0" borderId="7" pivotButton="0" quotePrefix="0" xfId="0"/>
    <xf numFmtId="0" fontId="34" fillId="25" borderId="22" applyAlignment="1" pivotButton="0" quotePrefix="0" xfId="0">
      <alignment horizontal="center" vertical="center" wrapText="1"/>
    </xf>
    <xf numFmtId="9" fontId="11" fillId="25" borderId="23" pivotButton="0" quotePrefix="0" xfId="2"/>
    <xf numFmtId="0" fontId="0" fillId="25" borderId="23" pivotButton="0" quotePrefix="0" xfId="0"/>
    <xf numFmtId="0" fontId="22" fillId="25" borderId="0" applyAlignment="1" pivotButton="0" quotePrefix="0" xfId="0">
      <alignment horizontal="left"/>
    </xf>
    <xf numFmtId="168" fontId="22" fillId="25" borderId="0" pivotButton="0" quotePrefix="0" xfId="0"/>
    <xf numFmtId="0" fontId="7" fillId="30" borderId="0" applyAlignment="1" pivotButton="0" quotePrefix="0" xfId="0">
      <alignment horizontal="left"/>
    </xf>
    <xf numFmtId="166" fontId="5" fillId="30" borderId="0" applyAlignment="1" pivotButton="0" quotePrefix="0" xfId="0">
      <alignment horizontal="right"/>
    </xf>
    <xf numFmtId="0" fontId="7" fillId="31" borderId="0" applyAlignment="1" pivotButton="0" quotePrefix="0" xfId="0">
      <alignment horizontal="left"/>
    </xf>
    <xf numFmtId="165" fontId="0" fillId="31" borderId="0" pivotButton="0" quotePrefix="0" xfId="0"/>
    <xf numFmtId="165" fontId="25" fillId="31" borderId="0" pivotButton="0" quotePrefix="0" xfId="0"/>
    <xf numFmtId="166" fontId="7" fillId="30" borderId="0" applyAlignment="1" pivotButton="0" quotePrefix="0" xfId="0">
      <alignment horizontal="right"/>
    </xf>
    <xf numFmtId="0" fontId="7" fillId="32" borderId="0" applyAlignment="1" pivotButton="0" quotePrefix="0" xfId="0">
      <alignment horizontal="left"/>
    </xf>
    <xf numFmtId="166" fontId="5" fillId="32" borderId="0" applyAlignment="1" pivotButton="0" quotePrefix="0" xfId="0">
      <alignment horizontal="right"/>
    </xf>
    <xf numFmtId="2" fontId="7" fillId="32" borderId="0" applyAlignment="1" pivotButton="0" quotePrefix="0" xfId="0">
      <alignment horizontal="right"/>
    </xf>
    <xf numFmtId="0" fontId="8" fillId="0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167" fontId="8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0" fontId="0" fillId="11" borderId="0" pivotButton="0" quotePrefix="0" xfId="0"/>
    <xf numFmtId="0" fontId="0" fillId="23" borderId="0" pivotButton="0" quotePrefix="0" xfId="0"/>
    <xf numFmtId="9" fontId="5" fillId="0" borderId="23" pivotButton="0" quotePrefix="0" xfId="2"/>
    <xf numFmtId="0" fontId="3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 wrapText="1"/>
    </xf>
    <xf numFmtId="0" fontId="41" fillId="18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73" fontId="5" fillId="28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25" borderId="0" applyAlignment="1" pivotButton="0" quotePrefix="0" xfId="0">
      <alignment horizontal="center"/>
    </xf>
    <xf numFmtId="0" fontId="0" fillId="0" borderId="44" pivotButton="0" quotePrefix="0" xfId="0"/>
    <xf numFmtId="0" fontId="34" fillId="6" borderId="45" applyAlignment="1" pivotButton="0" quotePrefix="0" xfId="0">
      <alignment horizontal="center" vertical="center" wrapText="1"/>
    </xf>
    <xf numFmtId="39" fontId="5" fillId="17" borderId="47" pivotButton="0" quotePrefix="0" xfId="0"/>
    <xf numFmtId="0" fontId="0" fillId="0" borderId="47" pivotButton="0" quotePrefix="0" xfId="0"/>
    <xf numFmtId="39" fontId="5" fillId="17" borderId="44" pivotButton="0" quotePrefix="0" xfId="0"/>
    <xf numFmtId="0" fontId="3" fillId="26" borderId="48" applyAlignment="1" pivotButton="0" quotePrefix="0" xfId="0">
      <alignment horizontal="center"/>
    </xf>
    <xf numFmtId="0" fontId="36" fillId="6" borderId="45" applyAlignment="1" pivotButton="0" quotePrefix="0" xfId="0">
      <alignment horizontal="center" vertical="center" wrapText="1"/>
    </xf>
    <xf numFmtId="17" fontId="6" fillId="0" borderId="47" pivotButton="0" quotePrefix="0" xfId="0"/>
    <xf numFmtId="0" fontId="0" fillId="17" borderId="23" pivotButton="0" quotePrefix="0" xfId="0"/>
    <xf numFmtId="0" fontId="0" fillId="17" borderId="47" pivotButton="0" quotePrefix="0" xfId="0"/>
    <xf numFmtId="0" fontId="0" fillId="17" borderId="50" pivotButton="0" quotePrefix="0" xfId="0"/>
    <xf numFmtId="3" fontId="9" fillId="17" borderId="23" pivotButton="0" quotePrefix="0" xfId="0"/>
    <xf numFmtId="9" fontId="5" fillId="17" borderId="23" pivotButton="0" quotePrefix="0" xfId="2"/>
    <xf numFmtId="0" fontId="0" fillId="17" borderId="44" pivotButton="0" quotePrefix="0" xfId="0"/>
    <xf numFmtId="166" fontId="10" fillId="0" borderId="44" pivotButton="0" quotePrefix="0" xfId="0"/>
    <xf numFmtId="4" fontId="0" fillId="0" borderId="47" pivotButton="0" quotePrefix="0" xfId="0"/>
    <xf numFmtId="1" fontId="30" fillId="0" borderId="44" pivotButton="0" quotePrefix="0" xfId="2"/>
    <xf numFmtId="9" fontId="10" fillId="0" borderId="47" pivotButton="0" quotePrefix="0" xfId="2"/>
    <xf numFmtId="9" fontId="11" fillId="0" borderId="47" pivotButton="0" quotePrefix="0" xfId="2"/>
    <xf numFmtId="0" fontId="23" fillId="0" borderId="0" pivotButton="0" quotePrefix="0" xfId="0"/>
    <xf numFmtId="0" fontId="23" fillId="25" borderId="0" applyAlignment="1" pivotButton="0" quotePrefix="0" xfId="0">
      <alignment horizontal="center"/>
    </xf>
    <xf numFmtId="167" fontId="2" fillId="21" borderId="58" applyAlignment="1" pivotButton="0" quotePrefix="0" xfId="0">
      <alignment horizontal="right" vertical="center"/>
    </xf>
    <xf numFmtId="174" fontId="0" fillId="21" borderId="58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0" fillId="23" borderId="55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0" fillId="24" borderId="55" applyAlignment="1" pivotButton="0" quotePrefix="0" xfId="0">
      <alignment horizontal="center"/>
    </xf>
    <xf numFmtId="167" fontId="42" fillId="21" borderId="58" applyAlignment="1" pivotButton="0" quotePrefix="0" xfId="0">
      <alignment horizontal="right" vertical="center"/>
    </xf>
    <xf numFmtId="0" fontId="8" fillId="10" borderId="0" applyAlignment="1" pivotButton="0" quotePrefix="0" xfId="0">
      <alignment horizontal="center" vertical="center" wrapText="1"/>
    </xf>
    <xf numFmtId="0" fontId="8" fillId="14" borderId="17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 wrapText="1"/>
    </xf>
    <xf numFmtId="170" fontId="23" fillId="25" borderId="0" applyAlignment="1" pivotButton="0" quotePrefix="0" xfId="3">
      <alignment vertical="center"/>
    </xf>
    <xf numFmtId="0" fontId="5" fillId="21" borderId="0" applyAlignment="1" pivotButton="0" quotePrefix="0" xfId="0">
      <alignment horizontal="center"/>
    </xf>
    <xf numFmtId="0" fontId="5" fillId="21" borderId="59" applyAlignment="1" pivotButton="0" quotePrefix="0" xfId="0">
      <alignment horizontal="center"/>
    </xf>
    <xf numFmtId="0" fontId="43" fillId="21" borderId="60" applyAlignment="1" pivotButton="0" quotePrefix="0" xfId="0">
      <alignment horizontal="center"/>
    </xf>
    <xf numFmtId="0" fontId="5" fillId="21" borderId="61" applyAlignment="1" pivotButton="0" quotePrefix="0" xfId="0">
      <alignment horizontal="center"/>
    </xf>
    <xf numFmtId="0" fontId="5" fillId="21" borderId="60" applyAlignment="1" pivotButton="0" quotePrefix="0" xfId="0">
      <alignment horizontal="center"/>
    </xf>
    <xf numFmtId="170" fontId="5" fillId="0" borderId="23" pivotButton="0" quotePrefix="0" xfId="3"/>
    <xf numFmtId="4" fontId="0" fillId="0" borderId="33" pivotButton="0" quotePrefix="0" xfId="0"/>
    <xf numFmtId="0" fontId="0" fillId="0" borderId="33" pivotButton="0" quotePrefix="0" xfId="0"/>
    <xf numFmtId="0" fontId="0" fillId="0" borderId="0" applyAlignment="1" pivotButton="0" quotePrefix="0" xfId="0">
      <alignment wrapText="1"/>
    </xf>
    <xf numFmtId="0" fontId="4" fillId="6" borderId="49" applyAlignment="1" pivotButton="0" quotePrefix="0" xfId="0">
      <alignment horizontal="center" wrapText="1"/>
    </xf>
    <xf numFmtId="49" fontId="12" fillId="6" borderId="43" applyAlignment="1" pivotButton="0" quotePrefix="0" xfId="0">
      <alignment horizontal="center" vertical="center"/>
    </xf>
    <xf numFmtId="49" fontId="12" fillId="6" borderId="16" applyAlignment="1" pivotButton="0" quotePrefix="0" xfId="0">
      <alignment horizontal="center" vertical="center"/>
    </xf>
    <xf numFmtId="49" fontId="12" fillId="6" borderId="46" applyAlignment="1" pivotButton="0" quotePrefix="0" xfId="0">
      <alignment horizontal="center" vertical="center"/>
    </xf>
    <xf numFmtId="49" fontId="12" fillId="6" borderId="0" applyAlignment="1" pivotButton="0" quotePrefix="0" xfId="0">
      <alignment horizontal="center" vertical="center"/>
    </xf>
    <xf numFmtId="49" fontId="12" fillId="6" borderId="56" applyAlignment="1" pivotButton="0" quotePrefix="0" xfId="0">
      <alignment horizontal="center" vertical="center"/>
    </xf>
    <xf numFmtId="49" fontId="12" fillId="6" borderId="41" applyAlignment="1" pivotButton="0" quotePrefix="0" xfId="0">
      <alignment horizontal="center" vertical="center"/>
    </xf>
    <xf numFmtId="49" fontId="12" fillId="6" borderId="57" applyAlignment="1" pivotButton="0" quotePrefix="0" xfId="0">
      <alignment horizontal="center" vertical="center"/>
    </xf>
    <xf numFmtId="175" fontId="5" fillId="23" borderId="0" pivotButton="0" quotePrefix="0" xfId="0"/>
    <xf numFmtId="175" fontId="5" fillId="24" borderId="0" pivotButton="0" quotePrefix="0" xfId="0"/>
    <xf numFmtId="164" fontId="5" fillId="24" borderId="63" pivotButton="0" quotePrefix="0" xfId="0"/>
    <xf numFmtId="164" fontId="5" fillId="24" borderId="64" pivotButton="0" quotePrefix="0" xfId="0"/>
    <xf numFmtId="0" fontId="7" fillId="0" borderId="0" applyAlignment="1" pivotButton="0" quotePrefix="0" xfId="0">
      <alignment horizontal="left"/>
    </xf>
    <xf numFmtId="167" fontId="2" fillId="21" borderId="0" applyAlignment="1" pivotButton="0" quotePrefix="0" xfId="0">
      <alignment horizontal="center" vertical="center"/>
    </xf>
    <xf numFmtId="170" fontId="23" fillId="25" borderId="0" applyAlignment="1" pivotButton="0" quotePrefix="0" xfId="0">
      <alignment vertical="center"/>
    </xf>
    <xf numFmtId="43" fontId="0" fillId="0" borderId="7" pivotButton="0" quotePrefix="0" xfId="3"/>
    <xf numFmtId="4" fontId="0" fillId="0" borderId="0" pivotButton="0" quotePrefix="0" xfId="0"/>
    <xf numFmtId="43" fontId="5" fillId="17" borderId="23" pivotButton="0" quotePrefix="0" xfId="3"/>
    <xf numFmtId="43" fontId="5" fillId="0" borderId="23" pivotButton="0" quotePrefix="0" xfId="3"/>
    <xf numFmtId="43" fontId="30" fillId="0" borderId="44" pivotButton="0" quotePrefix="0" xfId="3"/>
    <xf numFmtId="3" fontId="2" fillId="0" borderId="0" pivotButton="0" quotePrefix="0" xfId="0"/>
    <xf numFmtId="167" fontId="42" fillId="21" borderId="58" applyAlignment="1" pivotButton="0" quotePrefix="0" xfId="3">
      <alignment horizontal="right" vertical="center"/>
    </xf>
    <xf numFmtId="0" fontId="5" fillId="33" borderId="0" pivotButton="0" quotePrefix="0" xfId="0"/>
    <xf numFmtId="0" fontId="27" fillId="25" borderId="0" applyAlignment="1" pivotButton="0" quotePrefix="0" xfId="0">
      <alignment horizontal="center"/>
    </xf>
    <xf numFmtId="170" fontId="0" fillId="0" borderId="0" pivotButton="0" quotePrefix="0" xfId="0"/>
    <xf numFmtId="0" fontId="43" fillId="21" borderId="0" applyAlignment="1" pivotButton="0" quotePrefix="0" xfId="0">
      <alignment horizontal="center"/>
    </xf>
    <xf numFmtId="49" fontId="7" fillId="23" borderId="65" applyAlignment="1" pivotButton="0" quotePrefix="0" xfId="0">
      <alignment vertical="center"/>
    </xf>
    <xf numFmtId="49" fontId="7" fillId="24" borderId="65" applyAlignment="1" pivotButton="0" quotePrefix="0" xfId="0">
      <alignment vertical="center"/>
    </xf>
    <xf numFmtId="0" fontId="0" fillId="24" borderId="0" applyAlignment="1" pivotButton="0" quotePrefix="0" xfId="0">
      <alignment horizontal="left"/>
    </xf>
    <xf numFmtId="0" fontId="43" fillId="21" borderId="60" applyAlignment="1" pivotButton="0" quotePrefix="0" xfId="0">
      <alignment horizontal="center" wrapText="1"/>
    </xf>
    <xf numFmtId="39" fontId="0" fillId="17" borderId="23" pivotButton="0" quotePrefix="0" xfId="0"/>
    <xf numFmtId="176" fontId="1" fillId="0" borderId="23" pivotButton="0" quotePrefix="0" xfId="2"/>
    <xf numFmtId="168" fontId="0" fillId="0" borderId="42" pivotButton="0" quotePrefix="0" xfId="0"/>
    <xf numFmtId="0" fontId="0" fillId="0" borderId="0" pivotButton="0" quotePrefix="1" xfId="0"/>
    <xf numFmtId="0" fontId="0" fillId="34" borderId="0" pivotButton="0" quotePrefix="0" xfId="0"/>
    <xf numFmtId="170" fontId="0" fillId="35" borderId="23" pivotButton="0" quotePrefix="0" xfId="0"/>
    <xf numFmtId="9" fontId="5" fillId="35" borderId="23" pivotButton="0" quotePrefix="0" xfId="2"/>
    <xf numFmtId="43" fontId="5" fillId="35" borderId="23" pivotButton="0" quotePrefix="0" xfId="3"/>
    <xf numFmtId="3" fontId="9" fillId="35" borderId="23" pivotButton="0" quotePrefix="0" xfId="0"/>
    <xf numFmtId="166" fontId="10" fillId="0" borderId="42" pivotButton="0" quotePrefix="0" xfId="0"/>
    <xf numFmtId="9" fontId="11" fillId="0" borderId="66" pivotButton="0" quotePrefix="0" xfId="2"/>
    <xf numFmtId="0" fontId="0" fillId="25" borderId="42" pivotButton="0" quotePrefix="0" xfId="0"/>
    <xf numFmtId="166" fontId="10" fillId="0" borderId="67" pivotButton="0" quotePrefix="0" xfId="0"/>
    <xf numFmtId="9" fontId="10" fillId="0" borderId="23" pivotButton="0" quotePrefix="0" xfId="2"/>
    <xf numFmtId="0" fontId="2" fillId="0" borderId="0" applyAlignment="1" pivotButton="0" quotePrefix="0" xfId="0">
      <alignment horizontal="center" vertical="center"/>
    </xf>
    <xf numFmtId="14" fontId="5" fillId="28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26" borderId="15" applyAlignment="1" pivotButton="0" quotePrefix="0" xfId="0">
      <alignment horizontal="center"/>
    </xf>
    <xf numFmtId="0" fontId="3" fillId="26" borderId="2" applyAlignment="1" pivotButton="0" quotePrefix="0" xfId="0">
      <alignment horizontal="center"/>
    </xf>
    <xf numFmtId="0" fontId="27" fillId="25" borderId="24" applyAlignment="1" pivotButton="0" quotePrefix="0" xfId="0">
      <alignment horizontal="center"/>
    </xf>
    <xf numFmtId="173" fontId="5" fillId="28" borderId="0" applyAlignment="1" pivotButton="0" quotePrefix="0" xfId="0">
      <alignment horizontal="left" vertical="center"/>
    </xf>
    <xf numFmtId="0" fontId="22" fillId="25" borderId="51" applyAlignment="1" pivotButton="0" quotePrefix="0" xfId="0">
      <alignment horizontal="center"/>
    </xf>
    <xf numFmtId="0" fontId="22" fillId="25" borderId="24" applyAlignment="1" pivotButton="0" quotePrefix="0" xfId="0">
      <alignment horizontal="center"/>
    </xf>
    <xf numFmtId="0" fontId="22" fillId="25" borderId="52" applyAlignment="1" pivotButton="0" quotePrefix="0" xfId="0">
      <alignment horizontal="center"/>
    </xf>
    <xf numFmtId="0" fontId="22" fillId="25" borderId="53" applyAlignment="1" pivotButton="0" quotePrefix="0" xfId="0">
      <alignment horizontal="center"/>
    </xf>
    <xf numFmtId="0" fontId="22" fillId="25" borderId="54" applyAlignment="1" pivotButton="0" quotePrefix="0" xfId="0">
      <alignment horizontal="center"/>
    </xf>
    <xf numFmtId="0" fontId="3" fillId="26" borderId="62" applyAlignment="1" pivotButton="0" quotePrefix="0" xfId="0">
      <alignment horizontal="center"/>
    </xf>
    <xf numFmtId="0" fontId="3" fillId="26" borderId="24" applyAlignment="1" pivotButton="0" quotePrefix="0" xfId="0">
      <alignment horizontal="center"/>
    </xf>
    <xf numFmtId="0" fontId="3" fillId="26" borderId="3" applyAlignment="1" pivotButton="0" quotePrefix="0" xfId="0">
      <alignment horizontal="center"/>
    </xf>
    <xf numFmtId="0" fontId="3" fillId="9" borderId="0" applyAlignment="1" pivotButton="0" quotePrefix="0" xfId="0">
      <alignment horizontal="left" vertical="center" wrapText="1"/>
    </xf>
    <xf numFmtId="0" fontId="3" fillId="9" borderId="14" applyAlignment="1" pivotButton="0" quotePrefix="0" xfId="0">
      <alignment horizontal="left" vertical="center" wrapText="1"/>
    </xf>
    <xf numFmtId="0" fontId="3" fillId="9" borderId="33" applyAlignment="1" pivotButton="0" quotePrefix="0" xfId="0">
      <alignment horizontal="left" vertical="center" wrapText="1"/>
    </xf>
    <xf numFmtId="0" fontId="3" fillId="9" borderId="25" applyAlignment="1" pivotButton="0" quotePrefix="0" xfId="0">
      <alignment horizontal="left" vertical="center" wrapText="1"/>
    </xf>
    <xf numFmtId="0" fontId="4" fillId="29" borderId="10" applyAlignment="1" pivotButton="0" quotePrefix="0" xfId="0">
      <alignment horizontal="center" vertical="center" wrapText="1"/>
    </xf>
    <xf numFmtId="0" fontId="4" fillId="29" borderId="0" applyAlignment="1" pivotButton="0" quotePrefix="0" xfId="0">
      <alignment horizontal="center" vertical="center" wrapText="1"/>
    </xf>
    <xf numFmtId="0" fontId="3" fillId="9" borderId="30" applyAlignment="1" pivotButton="0" quotePrefix="0" xfId="0">
      <alignment horizontal="left" vertical="center" wrapText="1"/>
    </xf>
    <xf numFmtId="0" fontId="3" fillId="9" borderId="31" applyAlignment="1" pivotButton="0" quotePrefix="0" xfId="0">
      <alignment horizontal="left" vertical="center" wrapText="1"/>
    </xf>
    <xf numFmtId="0" fontId="3" fillId="9" borderId="28" applyAlignment="1" pivotButton="0" quotePrefix="0" xfId="0">
      <alignment horizontal="left" vertical="center" wrapText="1"/>
    </xf>
    <xf numFmtId="0" fontId="3" fillId="9" borderId="29" applyAlignment="1" pivotButton="0" quotePrefix="0" xfId="0">
      <alignment horizontal="left" vertical="center" wrapText="1"/>
    </xf>
    <xf numFmtId="0" fontId="4" fillId="29" borderId="4" applyAlignment="1" pivotButton="0" quotePrefix="0" xfId="0">
      <alignment horizontal="center" vertical="center" wrapText="1"/>
    </xf>
    <xf numFmtId="0" fontId="4" fillId="29" borderId="5" applyAlignment="1" pivotButton="0" quotePrefix="0" xfId="0">
      <alignment horizontal="center" vertical="center" wrapText="1"/>
    </xf>
    <xf numFmtId="0" fontId="4" fillId="29" borderId="6" applyAlignment="1" pivotButton="0" quotePrefix="0" xfId="0">
      <alignment horizontal="center" vertical="center" wrapText="1"/>
    </xf>
    <xf numFmtId="49" fontId="18" fillId="6" borderId="9" applyAlignment="1" pivotButton="0" quotePrefix="0" xfId="0">
      <alignment horizontal="center"/>
    </xf>
    <xf numFmtId="49" fontId="18" fillId="6" borderId="11" applyAlignment="1" pivotButton="0" quotePrefix="0" xfId="0">
      <alignment horizontal="center"/>
    </xf>
    <xf numFmtId="49" fontId="18" fillId="6" borderId="12" applyAlignment="1" pivotButton="0" quotePrefix="0" xfId="0">
      <alignment horizontal="center"/>
    </xf>
    <xf numFmtId="0" fontId="3" fillId="9" borderId="27" applyAlignment="1" pivotButton="0" quotePrefix="0" xfId="0">
      <alignment horizontal="left" vertical="center" wrapText="1"/>
    </xf>
    <xf numFmtId="0" fontId="3" fillId="9" borderId="26" applyAlignment="1" pivotButton="0" quotePrefix="0" xfId="0">
      <alignment horizontal="left" vertical="center" wrapText="1"/>
    </xf>
    <xf numFmtId="0" fontId="16" fillId="27" borderId="4" applyAlignment="1" pivotButton="0" quotePrefix="0" xfId="0">
      <alignment horizontal="left" vertical="center" wrapText="1"/>
    </xf>
    <xf numFmtId="0" fontId="16" fillId="27" borderId="6" applyAlignment="1" pivotButton="0" quotePrefix="0" xfId="0">
      <alignment horizontal="left" vertical="center" wrapText="1"/>
    </xf>
    <xf numFmtId="173" fontId="5" fillId="28" borderId="4" applyAlignment="1" pivotButton="0" quotePrefix="0" xfId="0">
      <alignment horizontal="left"/>
    </xf>
    <xf numFmtId="173" fontId="5" fillId="28" borderId="6" applyAlignment="1" pivotButton="0" quotePrefix="0" xfId="0">
      <alignment horizontal="left"/>
    </xf>
    <xf numFmtId="9" fontId="5" fillId="28" borderId="4" applyAlignment="1" pivotButton="0" quotePrefix="0" xfId="2">
      <alignment horizontal="left"/>
    </xf>
    <xf numFmtId="9" fontId="5" fillId="28" borderId="6" applyAlignment="1" pivotButton="0" quotePrefix="0" xfId="2">
      <alignment horizontal="left"/>
    </xf>
    <xf numFmtId="0" fontId="3" fillId="9" borderId="39" applyAlignment="1" pivotButton="0" quotePrefix="0" xfId="0">
      <alignment horizontal="left" vertical="center" wrapText="1"/>
    </xf>
    <xf numFmtId="0" fontId="3" fillId="9" borderId="40" applyAlignment="1" pivotButton="0" quotePrefix="0" xfId="0">
      <alignment horizontal="left" vertical="center" wrapText="1"/>
    </xf>
    <xf numFmtId="0" fontId="23" fillId="25" borderId="0" applyAlignment="1" pivotButton="0" quotePrefix="0" xfId="0">
      <alignment horizontal="center"/>
    </xf>
    <xf numFmtId="0" fontId="26" fillId="0" borderId="0" applyAlignment="1" pivotButton="0" quotePrefix="0" xfId="0">
      <alignment horizontal="left" wrapText="1"/>
    </xf>
    <xf numFmtId="17" fontId="23" fillId="25" borderId="0" applyAlignment="1" pivotButton="0" quotePrefix="0" xfId="0">
      <alignment horizontal="center"/>
    </xf>
    <xf numFmtId="0" fontId="19" fillId="0" borderId="0" applyAlignment="1" pivotButton="0" quotePrefix="0" xfId="0">
      <alignment horizontal="left" vertical="top" wrapText="1"/>
    </xf>
    <xf numFmtId="0" fontId="23" fillId="11" borderId="0" applyAlignment="1" pivotButton="0" quotePrefix="0" xfId="0">
      <alignment horizontal="center"/>
    </xf>
    <xf numFmtId="0" fontId="26" fillId="0" borderId="21" applyAlignment="1" pivotButton="0" quotePrefix="0" xfId="0">
      <alignment horizontal="left" wrapText="1"/>
    </xf>
    <xf numFmtId="0" fontId="4" fillId="29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49" fontId="18" fillId="6" borderId="7" applyAlignment="1" pivotButton="0" quotePrefix="0" xfId="0">
      <alignment horizontal="center"/>
    </xf>
    <xf numFmtId="0" fontId="16" fillId="27" borderId="7" applyAlignment="1" pivotButton="0" quotePrefix="0" xfId="0">
      <alignment horizontal="left" vertical="center" wrapText="1"/>
    </xf>
    <xf numFmtId="0" fontId="0" fillId="0" borderId="11" pivotButton="0" quotePrefix="0" xfId="0"/>
    <xf numFmtId="173" fontId="5" fillId="28" borderId="7" applyAlignment="1" pivotButton="0" quotePrefix="0" xfId="0">
      <alignment horizontal="left"/>
    </xf>
    <xf numFmtId="0" fontId="0" fillId="0" borderId="12" pivotButton="0" quotePrefix="0" xfId="0"/>
    <xf numFmtId="9" fontId="5" fillId="28" borderId="7" applyAlignment="1" pivotButton="0" quotePrefix="0" xfId="2">
      <alignment horizontal="left"/>
    </xf>
    <xf numFmtId="0" fontId="3" fillId="9" borderId="9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14" pivotButton="0" quotePrefix="0" xfId="0"/>
    <xf numFmtId="171" fontId="32" fillId="18" borderId="7" applyAlignment="1" pivotButton="0" quotePrefix="0" xfId="1">
      <alignment horizontal="right"/>
    </xf>
    <xf numFmtId="0" fontId="3" fillId="9" borderId="69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25" pivotButton="0" quotePrefix="0" xfId="0"/>
    <xf numFmtId="0" fontId="0" fillId="0" borderId="40" pivotButton="0" quotePrefix="0" xfId="0"/>
    <xf numFmtId="0" fontId="3" fillId="9" borderId="70" applyAlignment="1" pivotButton="0" quotePrefix="0" xfId="0">
      <alignment horizontal="left" vertical="center" wrapText="1"/>
    </xf>
    <xf numFmtId="0" fontId="0" fillId="0" borderId="29" pivotButton="0" quotePrefix="0" xfId="0"/>
    <xf numFmtId="168" fontId="0" fillId="0" borderId="0" pivotButton="0" quotePrefix="0" xfId="0"/>
    <xf numFmtId="173" fontId="5" fillId="28" borderId="0" applyAlignment="1" pivotButton="0" quotePrefix="0" xfId="0">
      <alignment horizontal="left" vertical="center"/>
    </xf>
    <xf numFmtId="0" fontId="22" fillId="25" borderId="71" applyAlignment="1" pivotButton="0" quotePrefix="0" xfId="0">
      <alignment horizontal="center"/>
    </xf>
    <xf numFmtId="0" fontId="0" fillId="0" borderId="24" pivotButton="0" quotePrefix="0" xfId="0"/>
    <xf numFmtId="0" fontId="0" fillId="0" borderId="52" pivotButton="0" quotePrefix="0" xfId="0"/>
    <xf numFmtId="0" fontId="22" fillId="25" borderId="72" applyAlignment="1" pivotButton="0" quotePrefix="0" xfId="0">
      <alignment horizontal="center"/>
    </xf>
    <xf numFmtId="0" fontId="0" fillId="0" borderId="54" pivotButton="0" quotePrefix="0" xfId="0"/>
    <xf numFmtId="0" fontId="0" fillId="0" borderId="2" pivotButton="0" quotePrefix="0" xfId="0"/>
    <xf numFmtId="170" fontId="5" fillId="0" borderId="23" pivotButton="0" quotePrefix="0" xfId="3"/>
    <xf numFmtId="166" fontId="10" fillId="0" borderId="44" pivotButton="0" quotePrefix="0" xfId="0"/>
    <xf numFmtId="166" fontId="10" fillId="0" borderId="67" pivotButton="0" quotePrefix="0" xfId="0"/>
    <xf numFmtId="170" fontId="0" fillId="35" borderId="23" pivotButton="0" quotePrefix="0" xfId="0"/>
    <xf numFmtId="166" fontId="10" fillId="0" borderId="42" pivotButton="0" quotePrefix="0" xfId="0"/>
    <xf numFmtId="176" fontId="1" fillId="0" borderId="23" pivotButton="0" quotePrefix="0" xfId="2"/>
    <xf numFmtId="167" fontId="2" fillId="21" borderId="58" applyAlignment="1" pivotButton="0" quotePrefix="0" xfId="0">
      <alignment horizontal="right" vertical="center"/>
    </xf>
    <xf numFmtId="174" fontId="0" fillId="21" borderId="58" applyAlignment="1" pivotButton="0" quotePrefix="0" xfId="0">
      <alignment horizontal="center"/>
    </xf>
    <xf numFmtId="167" fontId="42" fillId="21" borderId="58" applyAlignment="1" pivotButton="0" quotePrefix="0" xfId="0">
      <alignment horizontal="right" vertical="center"/>
    </xf>
    <xf numFmtId="167" fontId="5" fillId="0" borderId="0" applyAlignment="1" pivotButton="0" quotePrefix="0" xfId="0">
      <alignment horizontal="left"/>
    </xf>
    <xf numFmtId="170" fontId="23" fillId="25" borderId="0" applyAlignment="1" pivotButton="0" quotePrefix="0" xfId="3">
      <alignment vertical="center"/>
    </xf>
    <xf numFmtId="168" fontId="25" fillId="10" borderId="0" pivotButton="0" quotePrefix="0" xfId="0"/>
    <xf numFmtId="170" fontId="0" fillId="0" borderId="0" pivotButton="0" quotePrefix="0" xfId="0"/>
    <xf numFmtId="166" fontId="10" fillId="0" borderId="23" pivotButton="0" quotePrefix="0" xfId="0"/>
    <xf numFmtId="170" fontId="0" fillId="0" borderId="23" pivotButton="0" quotePrefix="0" xfId="0"/>
    <xf numFmtId="168" fontId="0" fillId="0" borderId="42" pivotButton="0" quotePrefix="0" xfId="0"/>
    <xf numFmtId="167" fontId="2" fillId="0" borderId="0" applyAlignment="1" pivotButton="0" quotePrefix="0" xfId="0">
      <alignment horizontal="left"/>
    </xf>
    <xf numFmtId="167" fontId="2" fillId="0" borderId="0" applyAlignment="1" pivotButton="0" quotePrefix="0" xfId="0">
      <alignment horizontal="right"/>
    </xf>
    <xf numFmtId="167" fontId="2" fillId="12" borderId="0" applyAlignment="1" pivotButton="0" quotePrefix="0" xfId="0">
      <alignment horizontal="left"/>
    </xf>
    <xf numFmtId="167" fontId="0" fillId="0" borderId="0" pivotButton="0" quotePrefix="0" xfId="0"/>
    <xf numFmtId="0" fontId="0" fillId="0" borderId="21" pivotButton="0" quotePrefix="0" xfId="0"/>
    <xf numFmtId="165" fontId="0" fillId="7" borderId="0" pivotButton="0" quotePrefix="0" xfId="0"/>
    <xf numFmtId="169" fontId="5" fillId="0" borderId="0" pivotButton="0" quotePrefix="0" xfId="0"/>
    <xf numFmtId="166" fontId="7" fillId="22" borderId="0" applyAlignment="1" pivotButton="0" quotePrefix="0" xfId="0">
      <alignment horizontal="right"/>
    </xf>
    <xf numFmtId="165" fontId="5" fillId="7" borderId="0" pivotButton="0" quotePrefix="0" xfId="0"/>
    <xf numFmtId="166" fontId="5" fillId="3" borderId="0" applyAlignment="1" pivotButton="0" quotePrefix="0" xfId="0">
      <alignment horizontal="right"/>
    </xf>
    <xf numFmtId="168" fontId="22" fillId="13" borderId="0" pivotButton="0" quotePrefix="0" xfId="0"/>
    <xf numFmtId="167" fontId="2" fillId="21" borderId="0" applyAlignment="1" pivotButton="0" quotePrefix="0" xfId="0">
      <alignment horizontal="center" vertical="center"/>
    </xf>
    <xf numFmtId="167" fontId="8" fillId="8" borderId="0" applyAlignment="1" pivotButton="0" quotePrefix="0" xfId="0">
      <alignment horizontal="center"/>
    </xf>
    <xf numFmtId="167" fontId="8" fillId="0" borderId="0" applyAlignment="1" pivotButton="0" quotePrefix="0" xfId="0">
      <alignment horizontal="center"/>
    </xf>
    <xf numFmtId="167" fontId="42" fillId="21" borderId="58" applyAlignment="1" pivotButton="0" quotePrefix="0" xfId="3">
      <alignment horizontal="right" vertical="center"/>
    </xf>
    <xf numFmtId="170" fontId="23" fillId="25" borderId="0" applyAlignment="1" pivotButton="0" quotePrefix="0" xfId="0">
      <alignment vertical="center"/>
    </xf>
    <xf numFmtId="165" fontId="0" fillId="31" borderId="0" pivotButton="0" quotePrefix="0" xfId="0"/>
    <xf numFmtId="166" fontId="7" fillId="30" borderId="0" applyAlignment="1" pivotButton="0" quotePrefix="0" xfId="0">
      <alignment horizontal="right"/>
    </xf>
    <xf numFmtId="166" fontId="5" fillId="30" borderId="0" applyAlignment="1" pivotButton="0" quotePrefix="0" xfId="0">
      <alignment horizontal="right"/>
    </xf>
    <xf numFmtId="166" fontId="5" fillId="32" borderId="0" applyAlignment="1" pivotButton="0" quotePrefix="0" xfId="0">
      <alignment horizontal="right"/>
    </xf>
    <xf numFmtId="168" fontId="22" fillId="25" borderId="0" pivotButton="0" quotePrefix="0" xfId="0"/>
    <xf numFmtId="165" fontId="25" fillId="31" borderId="0" pivotButton="0" quotePrefix="0" xfId="0"/>
    <xf numFmtId="164" fontId="5" fillId="23" borderId="0" pivotButton="0" quotePrefix="0" xfId="0"/>
    <xf numFmtId="164" fontId="5" fillId="24" borderId="0" pivotButton="0" quotePrefix="0" xfId="0"/>
    <xf numFmtId="175" fontId="5" fillId="23" borderId="0" pivotButton="0" quotePrefix="0" xfId="0"/>
    <xf numFmtId="175" fontId="5" fillId="24" borderId="0" pivotButton="0" quotePrefix="0" xfId="0"/>
    <xf numFmtId="164" fontId="5" fillId="24" borderId="63" pivotButton="0" quotePrefix="0" xfId="0"/>
    <xf numFmtId="164" fontId="5" fillId="24" borderId="64" pivotButton="0" quotePrefix="0" xfId="0"/>
    <xf numFmtId="164" fontId="5" fillId="0" borderId="0" pivotButton="0" quotePrefix="0" xfId="0"/>
    <xf numFmtId="170" fontId="29" fillId="0" borderId="0" applyAlignment="1" pivotButton="0" quotePrefix="0" xfId="3">
      <alignment vertical="center"/>
    </xf>
    <xf numFmtId="172" fontId="5" fillId="0" borderId="0" pivotButton="0" quotePrefix="0" xfId="0"/>
  </cellXfs>
  <cellStyles count="5">
    <cellStyle name="Normal" xfId="0" builtinId="0"/>
    <cellStyle name="Currency" xfId="1" builtinId="4"/>
    <cellStyle name="Percent" xfId="2" builtinId="5"/>
    <cellStyle name="Comma" xfId="3" builtinId="3"/>
    <cellStyle name="Comma 2" xfId="4"/>
  </cellStyles>
  <dxfs count="105">
    <dxf>
      <font>
        <color rgb="FFFF0000"/>
      </font>
      <numFmt numFmtId="30" formatCode="@"/>
      <fill>
        <patternFill patternType="solid">
          <fgColor rgb="FFD9E2F3"/>
          <bgColor rgb="FFD9E2F3"/>
        </patternFill>
      </fill>
      <alignment horizontal="center" vertical="center"/>
    </dxf>
    <dxf>
      <numFmt numFmtId="169" formatCode="[$USD]\ #,##0"/>
      <fill>
        <patternFill patternType="solid">
          <fgColor rgb="FFD9E2F3"/>
          <bgColor rgb="FFD9E2F3"/>
        </patternFill>
      </fill>
    </dxf>
    <dxf>
      <numFmt numFmtId="30" formatCode="@"/>
      <fill>
        <patternFill patternType="solid">
          <fgColor rgb="FFD9E2F3"/>
          <bgColor rgb="FFD9E2F3"/>
        </patternFill>
      </fill>
      <alignment horizontal="general" vertical="center"/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 patternType="solid">
          <fgColor theme="0"/>
          <bgColor theme="0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C00000"/>
        <extend val="0"/>
        <sz val="11"/>
        <vertAlign val="baseline"/>
      </font>
      <numFmt numFmtId="174" formatCode="_(* #,##0_);_(* \(#,##0\);_(* &quot;-&quot;??_);_(@_)"/>
      <fill>
        <patternFill patternType="solid">
          <fgColor indexed="64"/>
          <bgColor rgb="FFF2F2F2"/>
        </patternFill>
      </fill>
      <alignment horizontal="general" vertical="center"/>
      <border outline="0">
        <left/>
        <right/>
        <top/>
        <bottom style="medium">
          <color rgb="FFC9C9C9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numFmt numFmtId="169" formatCode="[$USD]\ #,##0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color rgb="FFFF0000"/>
      </font>
      <numFmt numFmtId="30" formatCode="@"/>
      <fill>
        <patternFill patternType="solid">
          <fgColor rgb="FFD9E2F3"/>
          <bgColor rgb="FFD9E2F3"/>
        </patternFill>
      </fill>
      <alignment horizontal="center" vertical="center"/>
    </dxf>
    <dxf>
      <numFmt numFmtId="169" formatCode="[$USD]\ #,##0"/>
      <fill>
        <patternFill patternType="solid">
          <fgColor rgb="FFD9E2F3"/>
          <bgColor rgb="FFD9E2F3"/>
        </patternFill>
      </fill>
    </dxf>
    <dxf>
      <numFmt numFmtId="30" formatCode="@"/>
      <fill>
        <patternFill patternType="solid">
          <fgColor rgb="FFD9E2F3"/>
          <bgColor rgb="FFD9E2F3"/>
        </patternFill>
      </fill>
      <alignment horizontal="general" vertical="center"/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4"/>
        <vertAlign val="baseline"/>
      </font>
      <fill>
        <patternFill patternType="solid">
          <fgColor theme="0"/>
          <bgColor theme="0"/>
        </patternFill>
      </fill>
      <alignment horizontal="center" vertical="center" wrapText="1"/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b val="1"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"/>
        </patternFill>
      </fill>
    </dxf>
    <dxf>
      <numFmt numFmtId="168" formatCode="_-* #,##0.00_-;\-* #,##0.00_-;_-* &quot;-&quot;??_-;_-@"/>
    </dxf>
    <dxf>
      <font>
        <b val="1"/>
        <color rgb="FF44546A"/>
        <sz val="13"/>
      </font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b val="1"/>
        <color rgb="FF44546A"/>
        <sz val="13"/>
      </font>
      <numFmt numFmtId="0" formatCode="General"/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_-* #,##0.00_-;\-* #,##0.00_-;_-* &quot;-&quot;??_-;_-@"/>
      <alignment horizontal="left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/>
    </dxf>
    <dxf>
      <fill>
        <patternFill>
          <bgColor auto="1"/>
        </patternFill>
      </fill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b val="1"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"/>
        </patternFill>
      </fill>
    </dxf>
    <dxf>
      <numFmt numFmtId="168" formatCode="_-* #,##0.00_-;\-* #,##0.00_-;_-* &quot;-&quot;??_-;_-@"/>
    </dxf>
    <dxf>
      <font>
        <b val="1"/>
        <color rgb="FF44546A"/>
        <sz val="13"/>
      </font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b val="1"/>
        <color rgb="FF44546A"/>
        <sz val="13"/>
      </font>
      <numFmt numFmtId="0" formatCode="General"/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_-* #,##0.00_-;\-* #,##0.00_-;_-* &quot;-&quot;??_-;_-@"/>
      <alignment horizontal="left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/>
    </dxf>
    <dxf>
      <fill>
        <patternFill>
          <bgColor auto="1"/>
        </patternFill>
      </fill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b val="1"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"/>
        </patternFill>
      </fill>
      <alignment horizontal="right" vertical="center"/>
      <border>
        <left/>
        <right/>
        <top style="thick">
          <color rgb="FFA1B8E1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4"/>
        <vertAlign val="baseline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"/>
        </patternFill>
      </fill>
    </dxf>
    <dxf>
      <numFmt numFmtId="168" formatCode="_-* #,##0.00_-;\-* #,##0.00_-;_-* &quot;-&quot;??_-;_-@"/>
    </dxf>
    <dxf>
      <font>
        <b val="1"/>
        <color rgb="FF44546A"/>
        <sz val="13"/>
      </font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b val="1"/>
        <color rgb="FF44546A"/>
        <sz val="13"/>
      </font>
      <numFmt numFmtId="168" formatCode="_-* #,##0.00_-;\-* #,##0.00_-;_-* &quot;-&quot;??_-;_-@"/>
      <fill>
        <patternFill>
          <fgColor indexed="64"/>
          <bgColor auto="1"/>
        </patternFill>
      </fill>
      <alignment horizontal="center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8" formatCode="_-* #,##0.00_-;\-* #,##0.00_-;_-* &quot;-&quot;??_-;_-@"/>
      <alignment horizontal="left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/>
    </dxf>
    <dxf>
      <fill>
        <patternFill>
          <bgColor auto="1"/>
        </patternFill>
      </fill>
    </dxf>
    <dxf>
      <numFmt numFmtId="1" formatCode="0"/>
      <fill>
        <patternFill>
          <bgColor auto="1"/>
        </patternFill>
      </fill>
    </dxf>
    <dxf>
      <numFmt numFmtId="168" formatCode="_-* #,##0.00_-;\-* #,##0.00_-;_-* &quot;-&quot;??_-;_-@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right" vertical="bottom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right" vertical="bottom"/>
    </dxf>
    <dxf>
      <fill>
        <patternFill>
          <fgColor indexed="64"/>
          <bgColor auto="1"/>
        </patternFill>
      </fill>
    </dxf>
    <dxf>
      <numFmt numFmtId="168" formatCode="_-* #,##0.00_-;\-* #,##0.00_-;_-* &quot;-&quot;??_-;_-@"/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</dxf>
    <dxf>
      <numFmt numFmtId="1" formatCode="0"/>
      <fill>
        <patternFill>
          <bgColor auto="1"/>
        </patternFill>
      </fill>
    </dxf>
    <dxf>
      <numFmt numFmtId="1" formatCode="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/>
    </dxf>
    <dxf>
      <numFmt numFmtId="168" formatCode="_-* #,##0.00_-;\-* #,##0.00_-;_-* &quot;-&quot;??_-;_-@"/>
    </dxf>
    <dxf>
      <numFmt numFmtId="168" formatCode="_-* #,##0.00_-;\-* #,##0.00_-;_-* &quot;-&quot;??_-;_-@"/>
    </dxf>
    <dxf>
      <numFmt numFmtId="168" formatCode="_-* #,##0.00_-;\-* #,##0.00_-;_-* &quot;-&quot;??_-;_-@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0" formatCode="General"/>
      <fill>
        <patternFill>
          <fgColor indexed="64"/>
          <bgColor auto="1"/>
        </patternFill>
      </fill>
      <alignment horizontal="right" vertical="bottom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right" vertical="bottom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numFmt numFmtId="168" formatCode="_-* #,##0.00_-;\-* #,##0.00_-;_-* &quot;-&quot;??_-;_-@"/>
      <fill>
        <patternFill>
          <fgColor indexed="64"/>
          <bgColor auto="1"/>
        </patternFill>
      </fill>
      <alignment horizontal="right" vertical="bottom"/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right" vertical="bottom"/>
    </dxf>
    <dxf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numFmt numFmtId="168" formatCode="_-* #,##0.00_-;\-* #,##0.00_-;_-* &quot;-&quot;??_-;_-@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numFmt numFmtId="168" formatCode="_-* #,##0.00_-;\-* #,##0.00_-;_-* &quot;-&quot;??_-;_-@"/>
      <fill>
        <patternFill>
          <fgColor indexed="64"/>
          <bgColor indexed="65"/>
        </patternFill>
      </fill>
      <alignment horizontal="left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5" defaultTableStyle="TableStyleMedium2" defaultPivotStyle="PivotStyleLight16">
    <tableStyle name="GAZT 2-style" pivot="0" count="3">
      <tableStyleElement type="headerRow" dxfId="104"/>
      <tableStyleElement type="firstRowStripe" dxfId="103"/>
      <tableStyleElement type="secondRowStripe" dxfId="102"/>
    </tableStyle>
    <tableStyle name="MEIM-style" pivot="0" count="3">
      <tableStyleElement type="headerRow" dxfId="101"/>
      <tableStyleElement type="firstRowStripe" dxfId="100"/>
      <tableStyleElement type="secondRowStripe" dxfId="99"/>
    </tableStyle>
    <tableStyle name="MOH-style" pivot="0" count="3">
      <tableStyleElement type="headerRow" dxfId="98"/>
      <tableStyleElement type="firstRowStripe" dxfId="97"/>
      <tableStyleElement type="secondRowStripe" dxfId="96"/>
    </tableStyle>
    <tableStyle name="OC-style" pivot="0" count="3">
      <tableStyleElement type="headerRow" dxfId="95"/>
      <tableStyleElement type="firstRowStripe" dxfId="94"/>
      <tableStyleElement type="secondRowStripe" dxfId="93"/>
    </tableStyle>
    <tableStyle name="Positions-style" pivot="0" count="3">
      <tableStyleElement type="headerRow" dxfId="92"/>
      <tableStyleElement type="firstRowStripe" dxfId="91"/>
      <tableStyleElement type="secondRowStripe" dxfId="9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externalLink" Target="/xl/externalLinks/externalLink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4009101387339"/>
          <y val="0.02309623669247189"/>
          <w val="0.8653272719792159"/>
          <h val="0.7600044235642206"/>
        </manualLayout>
      </layout>
      <barChart>
        <barDir val="col"/>
        <grouping val="stacked"/>
        <varyColors val="0"/>
        <ser>
          <idx val="0"/>
          <order val="0"/>
          <tx>
            <strRef>
              <f>'Profitability - Development'!$I$6</f>
              <strCache>
                <ptCount val="1"/>
                <pt idx="0">
                  <v>Current Cost (SAR)</v>
                </pt>
              </strCache>
            </strRef>
          </tx>
          <spPr>
            <a:solidFill xmlns:a="http://schemas.openxmlformats.org/drawingml/2006/main">
              <a:srgbClr val="A1B1D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'Profitability - Development'!$A$8:$A$9</f>
              <numCache>
                <formatCode>mmm\-yy</formatCode>
                <ptCount val="2"/>
                <pt idx="0">
                  <v>46102</v>
                </pt>
                <pt idx="1">
                  <v>46133</v>
                </pt>
              </numCache>
            </numRef>
          </cat>
          <val>
            <numRef>
              <f>'Profitability - Development'!$I$9:$I$9</f>
              <numCache>
                <formatCode>_(* #,##0.00_);_(* \(#,##0.00\);_(* "-"??_);_(@_)</formatCode>
                <ptCount val="1"/>
                <pt idx="0">
                  <v>150282.4125</v>
                </pt>
              </numCache>
            </numRef>
          </val>
        </ser>
        <ser>
          <idx val="1"/>
          <order val="1"/>
          <tx>
            <strRef>
              <f>'Profitability - Development'!$N$6</f>
              <strCache>
                <ptCount val="1"/>
                <pt idx="0">
                  <v>Estimated Cost to Complete</v>
                </pt>
              </strCache>
            </strRef>
          </tx>
          <spPr>
            <a:solidFill xmlns:a="http://schemas.openxmlformats.org/drawingml/2006/main">
              <a:srgbClr val="D8D8D8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'Profitability - Development'!$A$8:$A$9</f>
              <numCache>
                <formatCode>mmm\-yy</formatCode>
                <ptCount val="2"/>
                <pt idx="0">
                  <v>46102</v>
                </pt>
                <pt idx="1">
                  <v>46133</v>
                </pt>
              </numCache>
            </numRef>
          </cat>
          <val>
            <numRef>
              <f>'Profitability - Development'!$N$8:$N$9</f>
              <numCache>
                <formatCode>#,##0.00</formatCode>
                <ptCount val="2"/>
                <pt idx="0">
                  <v>6746253.394736843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887999864"/>
        <axId val="888007784"/>
      </barChart>
      <lineChart>
        <grouping val="standard"/>
        <varyColors val="0"/>
        <ser>
          <idx val="2"/>
          <order val="2"/>
          <tx>
            <strRef>
              <f>'Profitability - Development'!$T$6</f>
              <strCache>
                <ptCount val="1"/>
                <pt idx="0">
                  <v>Profit at Completion</v>
                </pt>
              </strCache>
            </strRef>
          </tx>
          <spPr>
            <a:ln xmlns:a="http://schemas.openxmlformats.org/drawingml/2006/main" w="28575" cap="rnd">
              <a:solidFill>
                <a:srgbClr val="0C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'[1]Profitability - Develoopment'!#REF!</f>
              <strCache>
                <ptCount val="1"/>
                <pt idx="0">
                  <v>#REF!</v>
                </pt>
              </strCache>
            </strRef>
          </cat>
          <val>
            <numRef>
              <f>'Profitability - Development'!$T$8:$T$9</f>
              <numCache>
                <formatCode>_-* #,##0.00\ [$SAR]_-;\-* #,##0.00\ [$SAR]_-;_-* "-"??\ [$SAR]_-;_-@</formatCode>
                <ptCount val="2"/>
                <pt idx="0">
                  <v>9412058.605263157</v>
                </pt>
                <pt idx="1">
                  <v>16040061.5875</v>
                </pt>
              </numCache>
            </numRef>
          </val>
          <smooth val="0"/>
        </ser>
        <ser>
          <idx val="3"/>
          <order val="3"/>
          <tx>
            <strRef>
              <f>'Profitability - Development'!$AE$6</f>
              <strCache>
                <ptCount val="1"/>
                <pt idx="0">
                  <v>VI+Issued</v>
                </pt>
              </strCache>
            </strRef>
          </tx>
          <spPr>
            <a:ln xmlns:a="http://schemas.openxmlformats.org/drawingml/2006/main"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'Profitability - Development'!$AE$8:$AE$9</f>
              <numCache>
                <formatCode>_(* #,##0_);_(* \(#,##0\);_(* "-"??_);_(@_)</formatCode>
                <ptCount val="2"/>
                <pt idx="0">
                  <v>161903.44</v>
                </pt>
                <pt idx="1">
                  <v>485710.32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7999864"/>
        <axId val="888007784"/>
      </lineChart>
      <dateAx>
        <axId val="887999864"/>
        <scaling>
          <orientation val="minMax"/>
        </scaling>
        <delete val="0"/>
        <axPos val="b"/>
        <numFmt formatCode="[$-409]mmm\-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ar-EG"/>
          </a:p>
        </txPr>
        <crossAx val="888007784"/>
        <crosses val="autoZero"/>
        <lblOffset val="100"/>
        <baseTimeUnit val="months"/>
      </dateAx>
      <valAx>
        <axId val="888007784"/>
        <scaling>
          <orientation val="minMax"/>
        </scaling>
        <delete val="0"/>
        <axPos val="l"/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ar-EG"/>
          </a:p>
        </txPr>
        <crossAx val="8879998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ar-EG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'Profitability - Consultation'!$I$6</f>
              <strCache>
                <ptCount val="1"/>
                <pt idx="0">
                  <v>Current Cost (SAR)</v>
                </pt>
              </strCache>
            </strRef>
          </tx>
          <spPr>
            <a:solidFill xmlns:a="http://schemas.openxmlformats.org/drawingml/2006/main">
              <a:srgbClr val="A1B1D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'Profitability - Consultation'!$A$14:$A$19</f>
              <numCache>
                <formatCode>mmm\-yy</formatCode>
                <ptCount val="6"/>
                <pt idx="0">
                  <v>45982</v>
                </pt>
                <pt idx="1">
                  <v>46012</v>
                </pt>
                <pt idx="2">
                  <v>46043</v>
                </pt>
                <pt idx="3">
                  <v>46074</v>
                </pt>
                <pt idx="4">
                  <v>46102</v>
                </pt>
                <pt idx="5">
                  <v>46133</v>
                </pt>
              </numCache>
            </numRef>
          </cat>
          <val>
            <numRef>
              <f>'Profitability - Consultation'!$I$14:$I$19</f>
              <numCache>
                <formatCode>_(* #,##0.00_);_(* \(#,##0.00\);_(* "-"??_);_(@_)</formatCode>
                <ptCount val="6"/>
                <pt idx="0">
                  <v>2067058.9125</v>
                </pt>
                <pt idx="1">
                  <v>2467746.075</v>
                </pt>
                <pt idx="2">
                  <v>2897830.74375</v>
                </pt>
                <pt idx="3">
                  <v>3483382.18359375</v>
                </pt>
                <pt idx="4">
                  <v>3903237</v>
                </pt>
                <pt idx="5">
                  <v>4182152.769140625</v>
                </pt>
              </numCache>
            </numRef>
          </val>
        </ser>
        <ser>
          <idx val="1"/>
          <order val="1"/>
          <tx>
            <strRef>
              <f>'Profitability - Consultation'!$N$6</f>
              <strCache>
                <ptCount val="1"/>
                <pt idx="0">
                  <v>Estimated Cost to Complete</v>
                </pt>
              </strCache>
            </strRef>
          </tx>
          <spPr>
            <a:solidFill xmlns:a="http://schemas.openxmlformats.org/drawingml/2006/main">
              <a:srgbClr val="D8D8D8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'Profitability - Consultation'!$A$14:$A$19</f>
              <numCache>
                <formatCode>mmm\-yy</formatCode>
                <ptCount val="6"/>
                <pt idx="0">
                  <v>45982</v>
                </pt>
                <pt idx="1">
                  <v>46012</v>
                </pt>
                <pt idx="2">
                  <v>46043</v>
                </pt>
                <pt idx="3">
                  <v>46074</v>
                </pt>
                <pt idx="4">
                  <v>46102</v>
                </pt>
                <pt idx="5">
                  <v>46133</v>
                </pt>
              </numCache>
            </numRef>
          </cat>
          <val>
            <numRef>
              <f>'Profitability - Consultation'!$N$14:$N$19</f>
              <numCache>
                <formatCode>#,##0.00</formatCode>
                <ptCount val="6"/>
                <pt idx="0">
                  <v>2236398.79508603</v>
                </pt>
                <pt idx="1">
                  <v>1741321.598571179</v>
                </pt>
                <pt idx="2">
                  <v>1886810.119903744</v>
                </pt>
                <pt idx="3">
                  <v>2180967.16362175</v>
                </pt>
                <pt idx="4">
                  <v>1954833.654830838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887999864"/>
        <axId val="888007784"/>
      </barChart>
      <lineChart>
        <grouping val="standard"/>
        <varyColors val="0"/>
        <ser>
          <idx val="2"/>
          <order val="2"/>
          <tx>
            <strRef>
              <f>'Profitability - Consultation'!$T$6</f>
              <strCache>
                <ptCount val="1"/>
                <pt idx="0">
                  <v>Profit at Completion</v>
                </pt>
              </strCache>
            </strRef>
          </tx>
          <spPr>
            <a:ln xmlns:a="http://schemas.openxmlformats.org/drawingml/2006/main" w="28575" cap="rnd">
              <a:solidFill>
                <a:srgbClr val="0C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'Profitability - Consultation'!$A$8:$A$12</f>
              <numCache>
                <formatCode>mmm\-yy</formatCode>
                <ptCount val="5"/>
                <pt idx="0">
                  <v>45798</v>
                </pt>
                <pt idx="1">
                  <v>45829</v>
                </pt>
                <pt idx="2">
                  <v>45859</v>
                </pt>
                <pt idx="3">
                  <v>45890</v>
                </pt>
                <pt idx="4">
                  <v>45921</v>
                </pt>
              </numCache>
            </numRef>
          </cat>
          <val>
            <numRef>
              <f>'Profitability - Consultation'!$T$14:$T$19</f>
              <numCache>
                <formatCode>_-* #,##0.00\ [$SAR]_-;\-* #,##0.00\ [$SAR]_-;_-* "-"??\ [$SAR]_-;_-@</formatCode>
                <ptCount val="6"/>
                <pt idx="0">
                  <v>2337792.29241397</v>
                </pt>
                <pt idx="1">
                  <v>2432182.326428821</v>
                </pt>
                <pt idx="2">
                  <v>1856609.136346255</v>
                </pt>
                <pt idx="3">
                  <v>976900.6527845003</v>
                </pt>
                <pt idx="4">
                  <v>783179.3451691624</v>
                </pt>
                <pt idx="5">
                  <v>2459097.230859375</v>
                </pt>
              </numCache>
            </numRef>
          </val>
          <smooth val="0"/>
        </ser>
        <ser>
          <idx val="3"/>
          <order val="3"/>
          <tx>
            <strRef>
              <f>'Profitability - Consultation'!$AE$6</f>
              <strCache>
                <ptCount val="1"/>
                <pt idx="0">
                  <v>VI+Issued</v>
                </pt>
              </strCache>
            </strRef>
          </tx>
          <spPr>
            <a:ln xmlns:a="http://schemas.openxmlformats.org/drawingml/2006/main" w="28575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'Profitability - Consultation'!$AE$14:$AE$19</f>
              <numCache>
                <formatCode>_(* #,##0_);_(* \(#,##0\);_(* "-"??_);_(@_)</formatCode>
                <ptCount val="6"/>
                <pt idx="0">
                  <v>3187800</v>
                </pt>
                <pt idx="1">
                  <v>3851925</v>
                </pt>
                <pt idx="2">
                  <v>4383225</v>
                </pt>
                <pt idx="3">
                  <v>4117575</v>
                </pt>
                <pt idx="4">
                  <v>4383225</v>
                </pt>
                <pt idx="5">
                  <v>4582462.5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7999864"/>
        <axId val="888007784"/>
      </lineChart>
      <dateAx>
        <axId val="887999864"/>
        <scaling>
          <orientation val="minMax"/>
        </scaling>
        <delete val="0"/>
        <axPos val="b"/>
        <numFmt formatCode="[$-409]mmm\-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ar-EG"/>
          </a:p>
        </txPr>
        <crossAx val="888007784"/>
        <crosses val="autoZero"/>
        <lblOffset val="100"/>
        <baseTimeUnit val="months"/>
      </dateAx>
      <valAx>
        <axId val="888007784"/>
        <scaling>
          <orientation val="minMax"/>
        </scaling>
        <delete val="0"/>
        <axPos val="l"/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ar-EG"/>
          </a:p>
        </txPr>
        <crossAx val="8879998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ar-EG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</a:p>
        </rich>
      </tx>
      <layout>
        <manualLayout>
          <xMode val="edge"/>
          <yMode val="edge"/>
          <wMode val="factor"/>
          <hMode val="factor"/>
          <x val="0.2874652230971129"/>
          <y val="0.02777777777777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'Profitability - Consultation'!$T$6:$T$7</f>
              <strCache>
                <ptCount val="2"/>
                <pt idx="0">
                  <v>Profit at Completion</v>
                </pt>
                <pt idx="1">
                  <v>(13)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[1]Profitability!#REF!</f>
              <numCache>
                <formatCode>_-* #,##0.00\ [$SAR]_-;\-* #,##0.00\ [$SAR]_-;_-* "-"??\ [$SAR]_-;_-@</formatCode>
                <ptCount val="1"/>
                <pt idx="0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390"/>
        <overlap val="-27"/>
        <axId val="-48178128"/>
        <axId val="-40490944"/>
      </barChart>
      <catAx>
        <axId val="-481781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40490944"/>
        <crosses val="autoZero"/>
        <auto val="1"/>
        <lblAlgn val="ctr"/>
        <lblOffset val="100"/>
        <noMultiLvlLbl val="1"/>
      </catAx>
      <valAx>
        <axId val="-404909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-* #,##0.00\ [$SAR]_-;\-* #,##0.00\ [$SAR]_-;_-* &quot;-&quot;??\ [$SAR]_-;_-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48178128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Cost Variance</a:t>
            </a:r>
          </a:p>
        </rich>
      </tx>
      <layout>
        <manualLayout>
          <xMode val="edge"/>
          <yMode val="edge"/>
          <wMode val="factor"/>
          <hMode val="factor"/>
          <x val="0.2874652230971129"/>
          <y val="0.02777777777777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strRef>
              <f>'Profitability - Consultation'!$Q$6</f>
              <strCache>
                <ptCount val="1"/>
                <pt idx="0">
                  <v>Variance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[1]Profitability!#REF!</f>
              <numCache>
                <formatCode>_-* #,##0.00\ [$SAR]_-;\-* #,##0.00\ [$SAR]_-;_-* "-"??\ [$SAR]_-;_-@</formatCode>
                <ptCount val="1"/>
                <pt idx="0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390"/>
        <overlap val="-27"/>
        <axId val="-95518528"/>
        <axId val="-95517984"/>
      </barChart>
      <catAx>
        <axId val="-955185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95517984"/>
        <crosses val="autoZero"/>
        <auto val="1"/>
        <lblAlgn val="ctr"/>
        <lblOffset val="100"/>
        <noMultiLvlLbl val="1"/>
      </catAx>
      <valAx>
        <axId val="-95517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-* #,##0.00\ [$SAR]_-;\-* #,##0.00\ [$SAR]_-;_-* &quot;-&quot;??\ [$SAR]_-;_-@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95518528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'Profitability - Consultation'!$J$6</f>
              <strCache>
                <ptCount val="1"/>
                <pt idx="0">
                  <v>Estimated Remaining (MD)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[1]Profitability!#REF!</f>
              <numCache>
                <formatCode>#,##0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95516352"/>
        <axId val="-95519072"/>
      </lineChart>
      <catAx>
        <axId val="-955163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95519072"/>
        <crosses val="autoZero"/>
        <auto val="1"/>
        <lblAlgn val="ctr"/>
        <lblOffset val="100"/>
        <noMultiLvlLbl val="1"/>
      </catAx>
      <valAx>
        <axId val="-95519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-9551635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'Profitability - Consultation'!$P$6</f>
              <strCache>
                <ptCount val="1"/>
                <pt idx="0">
                  <v>CPI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'Profitability - Consultation'!$A$8:$A$16</f>
              <numCache>
                <formatCode>mmm\-yy</formatCode>
                <ptCount val="9"/>
                <pt idx="0">
                  <v>45798</v>
                </pt>
                <pt idx="1">
                  <v>45829</v>
                </pt>
                <pt idx="2">
                  <v>45859</v>
                </pt>
                <pt idx="3">
                  <v>45890</v>
                </pt>
                <pt idx="4">
                  <v>45921</v>
                </pt>
                <pt idx="5">
                  <v>45951</v>
                </pt>
                <pt idx="6">
                  <v>45982</v>
                </pt>
                <pt idx="7">
                  <v>46012</v>
                </pt>
                <pt idx="8">
                  <v>46043</v>
                </pt>
              </numCache>
            </numRef>
          </cat>
          <val>
            <numRef>
              <f>'Profitability - Consultation'!$P$8:$P$21</f>
              <numCache>
                <formatCode>#,##0.00</formatCode>
                <ptCount val="14"/>
                <pt idx="0">
                  <v>1.044912276919537</v>
                </pt>
                <pt idx="1">
                  <v>1.04700065681721</v>
                </pt>
                <pt idx="2">
                  <v>1.052767642259542</v>
                </pt>
                <pt idx="3">
                  <v>1.052072107358298</v>
                </pt>
                <pt idx="4">
                  <v>0.9017054197601864</v>
                </pt>
                <pt idx="5">
                  <v>1.075392378830497</v>
                </pt>
                <pt idx="6">
                  <v>1.118031203494479</v>
                </pt>
                <pt idx="7">
                  <v>1.143103502519306</v>
                </pt>
                <pt idx="8">
                  <v>1.005592715756271</v>
                </pt>
                <pt idx="9">
                  <v>0.8494179481294183</v>
                </pt>
                <pt idx="10">
                  <v>0.8213284344790713</v>
                </pt>
                <pt idx="11">
                  <v>1.150460125584718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8097871"/>
        <axId val="1418074831"/>
      </lineChart>
      <dateAx>
        <axId val="1418097871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8074831"/>
        <crosses val="autoZero"/>
        <lblOffset val="100"/>
        <baseTimeUnit val="months"/>
      </dateAx>
      <valAx>
        <axId val="141807483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809787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Alya Rabea</author>
    <author>tc={90FD7038-0988-4EF8-A168-D471F6749CDA}</author>
    <author>tc={D163F3AA-0745-48DF-B51A-775E57149DA0}</author>
  </authors>
  <commentList>
    <comment ref="L6" authorId="0" shapeId="0">
      <text>
        <t>Alya Rabea:
If overrun is +ve: the project is running out of budget
If overrun is -ve: we're within budget</t>
      </text>
    </comment>
    <comment ref="H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revisit</t>
      </text>
    </comment>
    <comment ref="AA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Correct</t>
      </text>
    </comment>
  </commentList>
</comments>
</file>

<file path=xl/comments/comment2.xml><?xml version="1.0" encoding="utf-8"?>
<comments xmlns="http://schemas.openxmlformats.org/spreadsheetml/2006/main">
  <authors>
    <author>Alya Rabea</author>
  </authors>
  <commentList>
    <comment ref="L6" authorId="0" shapeId="0">
      <text>
        <t>Alya Rabea:
If overrun is +ve: the project is running out of budget
If overrun is -ve: we're within budget</t>
      </text>
    </comment>
  </commentList>
</comments>
</file>

<file path=xl/comments/comment3.xml><?xml version="1.0" encoding="utf-8"?>
<comments xmlns="http://schemas.openxmlformats.org/spreadsheetml/2006/main">
  <authors>
    <author>tc={2359AA8C-5B23-4A84-AAED-05047506C415}</author>
  </authors>
  <commentList>
    <comment ref="E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 as pre sales or 12 as phase duration?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jpe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twoCellAnchor>
    <from>
      <col>16</col>
      <colOff>1364008</colOff>
      <row>11</row>
      <rowOff>177331</rowOff>
    </from>
    <to>
      <col>23</col>
      <colOff>1230099</colOff>
      <row>27</row>
      <rowOff>130350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14</col>
      <colOff>82551</colOff>
      <row>0</row>
      <rowOff>75407</rowOff>
    </from>
    <to>
      <col>15</col>
      <colOff>15082</colOff>
      <row>0</row>
      <rowOff>353028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931776" y="75407"/>
          <a:ext cx="961231" cy="277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920407</colOff>
      <row>21</row>
      <rowOff>105144</rowOff>
    </from>
    <to>
      <col>22</col>
      <colOff>858385</colOff>
      <row>37</row>
      <rowOff>12995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14</col>
      <colOff>82551</colOff>
      <row>0</row>
      <rowOff>75407</rowOff>
    </from>
    <to>
      <col>15</col>
      <colOff>15082</colOff>
      <row>0</row>
      <rowOff>353028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572207" y="75407"/>
          <a:ext cx="1000125" cy="277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152400</colOff>
      <row>1</row>
      <rowOff>66681</rowOff>
    </from>
    <to>
      <col>8</col>
      <colOff>414338</colOff>
      <row>15</row>
      <rowOff>142881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533400</colOff>
      <row>1</row>
      <rowOff>66675</rowOff>
    </from>
    <to>
      <col>17</col>
      <colOff>361951</colOff>
      <row>15</row>
      <rowOff>142875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152400</colOff>
      <row>16</row>
      <rowOff>121920</rowOff>
    </from>
    <to>
      <col>7</col>
      <colOff>457200</colOff>
      <row>31</row>
      <rowOff>121920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50800</colOff>
      <row>16</row>
      <rowOff>139700</rowOff>
    </from>
    <to>
      <col>16</col>
      <colOff>355600</colOff>
      <row>28</row>
      <rowOff>95250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Users/envnt/Downloads/BOG%20Digital%20Transformation_Variance%20Sheet_Feb%20(3)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dget - Development"/>
      <sheetName val="Estimated Cost - Development"/>
      <sheetName val="Budget - Support"/>
      <sheetName val="Estimated Cost - Support"/>
      <sheetName val="Help"/>
      <sheetName val="Budget - Consultation"/>
      <sheetName val="Estimated Cost - Consultation"/>
      <sheetName val="Profitability - Consultation"/>
      <sheetName val="Estimated Cost (2)"/>
      <sheetName val="Current Effort - Consultation"/>
      <sheetName val="Charts"/>
      <sheetName val="Positions2024"/>
      <sheetName val="Positions"/>
      <sheetName val="data"/>
      <sheetName val="BOG Digital Transformation_Vari"/>
      <sheetName val="Profitability"/>
      <sheetName val="Profitability - Develoop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Position</v>
          </cell>
          <cell r="B1" t="str">
            <v>Hour Rate</v>
          </cell>
        </row>
        <row r="2">
          <cell r="A2" t="str">
            <v>KSA - Technical Support</v>
          </cell>
          <cell r="B2">
            <v>56.25</v>
          </cell>
        </row>
        <row r="3">
          <cell r="A3" t="str">
            <v>KSA - Sr. Technical Support</v>
          </cell>
          <cell r="B3">
            <v>79.125</v>
          </cell>
        </row>
        <row r="4">
          <cell r="A4" t="str">
            <v>KSA - Software Engineer</v>
          </cell>
          <cell r="B4">
            <v>56.25</v>
          </cell>
        </row>
        <row r="5">
          <cell r="A5" t="str">
            <v>KSA - Sr. Software Engineer</v>
          </cell>
          <cell r="B5">
            <v>79.125</v>
          </cell>
        </row>
        <row r="6">
          <cell r="A6" t="str">
            <v>KSA - Lead Software Engineer</v>
          </cell>
          <cell r="B6">
            <v>87</v>
          </cell>
        </row>
        <row r="7">
          <cell r="A7" t="str">
            <v>KSA - Business Analyst</v>
          </cell>
          <cell r="B7">
            <v>56.25</v>
          </cell>
        </row>
        <row r="8">
          <cell r="A8" t="str">
            <v>KSA- Sr Business Analyst</v>
          </cell>
          <cell r="B8">
            <v>79.125</v>
          </cell>
        </row>
        <row r="9">
          <cell r="A9" t="str">
            <v>KSA - Lead Business Analyst</v>
          </cell>
          <cell r="B9">
            <v>87</v>
          </cell>
        </row>
        <row r="10">
          <cell r="A10" t="str">
            <v>KSA - Solution Architect / Manager</v>
          </cell>
          <cell r="B10">
            <v>112.25</v>
          </cell>
        </row>
        <row r="11">
          <cell r="A11" t="str">
            <v>KSA - Project Manager</v>
          </cell>
          <cell r="B11">
            <v>112.25</v>
          </cell>
        </row>
        <row r="12">
          <cell r="A12" t="str">
            <v>EGY - Software Engineer</v>
          </cell>
          <cell r="B12">
            <v>27.875</v>
          </cell>
        </row>
        <row r="13">
          <cell r="A13" t="str">
            <v>EGY - Sr. Software Engineer</v>
          </cell>
          <cell r="B13">
            <v>31.625</v>
          </cell>
        </row>
        <row r="14">
          <cell r="A14" t="str">
            <v>EGY - Lead Software Engineer</v>
          </cell>
          <cell r="B14">
            <v>34.625</v>
          </cell>
        </row>
        <row r="15">
          <cell r="A15" t="str">
            <v>EGY - Business Analyst</v>
          </cell>
          <cell r="B15">
            <v>27.875</v>
          </cell>
        </row>
        <row r="16">
          <cell r="A16" t="str">
            <v>EGY - Sr Business Analyst</v>
          </cell>
          <cell r="B16">
            <v>29.375</v>
          </cell>
        </row>
        <row r="17">
          <cell r="A17" t="str">
            <v>EGY - Lead Business Analyst</v>
          </cell>
          <cell r="B17">
            <v>34.625</v>
          </cell>
        </row>
        <row r="18">
          <cell r="A18" t="str">
            <v>EGY - Project Manager</v>
          </cell>
          <cell r="B18">
            <v>37.625</v>
          </cell>
        </row>
        <row r="19">
          <cell r="A19" t="str">
            <v>EGY - Quality Engineer</v>
          </cell>
          <cell r="B19">
            <v>27.875</v>
          </cell>
        </row>
        <row r="20">
          <cell r="A20" t="str">
            <v>EGY - Sr Quality Engineer</v>
          </cell>
          <cell r="B20">
            <v>31.625</v>
          </cell>
        </row>
        <row r="21">
          <cell r="A21" t="str">
            <v>EGY - Lead Quality Engineer</v>
          </cell>
          <cell r="B21">
            <v>34.625</v>
          </cell>
        </row>
        <row r="22">
          <cell r="A22" t="str">
            <v>EGY - UX Designer</v>
          </cell>
          <cell r="B22">
            <v>27.875</v>
          </cell>
        </row>
        <row r="23">
          <cell r="A23" t="str">
            <v>EGY - Sr UX Designer</v>
          </cell>
          <cell r="B23">
            <v>31.625</v>
          </cell>
        </row>
        <row r="24">
          <cell r="A24" t="str">
            <v>EGY - Lead UX Designer</v>
          </cell>
          <cell r="B24">
            <v>34.625</v>
          </cell>
        </row>
        <row r="25">
          <cell r="A25" t="str">
            <v>EGY - Software Engineer - onsite</v>
          </cell>
          <cell r="B25">
            <v>45.215000000000003</v>
          </cell>
        </row>
        <row r="26">
          <cell r="A26" t="str">
            <v>EGY - Sr. Software Engineer - onsite</v>
          </cell>
          <cell r="B26">
            <v>51.631250000000001</v>
          </cell>
        </row>
        <row r="27">
          <cell r="A27" t="str">
            <v>EGY - Lead Software Engineer - onsite</v>
          </cell>
          <cell r="B27">
            <v>58.298749999999998</v>
          </cell>
        </row>
        <row r="28">
          <cell r="A28" t="str">
            <v>EGY - Business Analyst - onsite</v>
          </cell>
          <cell r="B28">
            <v>45.215000000000003</v>
          </cell>
        </row>
        <row r="29">
          <cell r="A29" t="str">
            <v>EGY - Sr Business Analyst - onsite</v>
          </cell>
          <cell r="B29">
            <v>51.631250000000001</v>
          </cell>
        </row>
        <row r="30">
          <cell r="A30" t="str">
            <v>EGY - Lead Business Analyst - onsite</v>
          </cell>
          <cell r="B30">
            <v>58.298749999999998</v>
          </cell>
        </row>
        <row r="31">
          <cell r="A31" t="str">
            <v>EGY - Project Manager - onsite</v>
          </cell>
          <cell r="B31">
            <v>63.131250000000001</v>
          </cell>
        </row>
        <row r="32">
          <cell r="A32" t="str">
            <v>EGY - Quality Engineer - onsite</v>
          </cell>
          <cell r="B32">
            <v>45.215000000000003</v>
          </cell>
        </row>
        <row r="33">
          <cell r="A33" t="str">
            <v>EGY - Sr Quality Engineer - onsite</v>
          </cell>
          <cell r="B33">
            <v>51.631250000000001</v>
          </cell>
        </row>
        <row r="34">
          <cell r="A34" t="str">
            <v>EGY - Lead Quality Engineer - onsite</v>
          </cell>
          <cell r="B34">
            <v>58.298749999999998</v>
          </cell>
        </row>
        <row r="35">
          <cell r="A35" t="str">
            <v>EGY - UX Designer - onsite</v>
          </cell>
          <cell r="B35">
            <v>45.215000000000003</v>
          </cell>
        </row>
        <row r="36">
          <cell r="A36" t="str">
            <v>EGY - Sr UX Designer - onsite</v>
          </cell>
          <cell r="B36">
            <v>51.631250000000001</v>
          </cell>
        </row>
        <row r="37">
          <cell r="A37" t="str">
            <v>EGY - Lead UX Designer - onsite</v>
          </cell>
          <cell r="B37">
            <v>58.298749999999998</v>
          </cell>
        </row>
      </sheetData>
      <sheetData sheetId="12"/>
      <sheetData sheetId="13"/>
      <sheetData sheetId="14" refreshError="1"/>
      <sheetData sheetId="15" refreshError="1"/>
      <sheetData sheetId="16"/>
    </sheetDataSet>
  </externalBook>
</externalLink>
</file>

<file path=xl/tables/table1.xml><?xml version="1.0" encoding="utf-8"?>
<table xmlns="http://schemas.openxmlformats.org/spreadsheetml/2006/main" id="1" name="Table_6710" displayName="Table_6710" ref="A3:I23" headerRowCount="1" totalsRowCount="1">
  <tableColumns count="9">
    <tableColumn id="1" name="Name" dataDxfId="81"/>
    <tableColumn id="2" name="Position" dataDxfId="80"/>
    <tableColumn id="3" name="Hour Rate ($)" dataDxfId="78" totalsRowDxfId="79">
      <calculatedColumnFormula>VLOOKUP(B:B,Positions!A:B,2,0)</calculatedColumnFormula>
    </tableColumn>
    <tableColumn id="4" name="Actual Time (MH)" dataDxfId="76" totalsRowDxfId="77">
      <calculatedColumnFormula>22*8</calculatedColumnFormula>
    </tableColumn>
    <tableColumn id="6" name="Onsite Rate ($)" dataDxfId="74" totalsRowDxfId="75">
      <calculatedColumnFormula>19+Table_6710[[#This Row],[Hour Rate ($)]]</calculatedColumnFormula>
    </tableColumn>
    <tableColumn id="7" name="Actual Time Onsite (MH)" dataDxfId="72" totalsRowDxfId="73">
      <calculatedColumnFormula>22*8</calculatedColumnFormula>
    </tableColumn>
    <tableColumn id="5" name="Total Cost" dataDxfId="70" totalsRowDxfId="71">
      <calculatedColumnFormula>D4*C4+Table_6710[[#This Row],[Onsite Rate ($)]]*Table_6710[[#This Row],[Actual Time Onsite (MH)]]</calculatedColumnFormula>
    </tableColumn>
    <tableColumn id="10" name="Cost * Period" dataDxfId="68" totalsRowDxfId="69">
      <calculatedColumnFormula>Table_6710[[#This Row],[Total Cost]]*6</calculatedColumnFormula>
    </tableColumn>
    <tableColumn id="8" name="MD" totalsRowFunction="sum" dataDxfId="66" totalsRowDxfId="67">
      <calculatedColumnFormula>(Table_6710[[#This Row],[Actual Time (MH)]]*4)/8</calculatedColumnFormula>
    </tableColumn>
  </tableColumns>
  <tableStyleInfo name="OC-style" showFirstColumn="1" showLastColumn="1" showRowStripes="1" showColumnStripes="0"/>
</table>
</file>

<file path=xl/tables/table2.xml><?xml version="1.0" encoding="utf-8"?>
<table xmlns="http://schemas.openxmlformats.org/spreadsheetml/2006/main" id="2" name="Table_67811" displayName="Table_67811" ref="A33:H35" headerRowCount="1">
  <tableColumns count="8">
    <tableColumn id="1" name="Name" dataDxfId="65"/>
    <tableColumn id="2" name="Position" dataDxfId="64"/>
    <tableColumn id="3" name="Hour Rate ($)" dataDxfId="63"/>
    <tableColumn id="4" name="Actual Time (MH)" dataDxfId="62"/>
    <tableColumn id="6" name="Onsite Rate ($)" dataDxfId="61"/>
    <tableColumn id="7" name="Actual Time Onsite (MH)" dataDxfId="60"/>
    <tableColumn id="5" name="Total Cost" dataDxfId="59"/>
    <tableColumn id="8" name="MD" dataDxfId="58"/>
  </tableColumns>
  <tableStyleInfo name="OC-style" showFirstColumn="1" showLastColumn="1" showRowStripes="1" showColumnStripes="0"/>
</table>
</file>

<file path=xl/tables/table3.xml><?xml version="1.0" encoding="utf-8"?>
<table xmlns="http://schemas.openxmlformats.org/spreadsheetml/2006/main" id="3" name="Table_67124" displayName="Table_67124" ref="A6:H27" headerRowCount="1" totalsRowCount="1" headerRowDxfId="57">
  <tableColumns count="8">
    <tableColumn id="2" name="Position" dataDxfId="56"/>
    <tableColumn id="3" name="Hour Rate ($)" dataDxfId="54" totalsRowDxfId="55">
      <calculatedColumnFormula>VLOOKUP(A:A,[1]Positions2024!A:B,2,0)</calculatedColumnFormula>
    </tableColumn>
    <tableColumn id="4" name="Actual Time (MH)" dataDxfId="52" totalsRowDxfId="53"/>
    <tableColumn id="5" name="Cost per month" dataDxfId="50" totalsRowDxfId="51">
      <calculatedColumnFormula>[1]!Table_67124[[#This Row],[Hour Rate ($)]]*[1]!Table_67124[[#This Row],[Actual Time (MH)]]</calculatedColumnFormula>
    </tableColumn>
    <tableColumn id="9" name="Estimated # of Months" dataDxfId="48" totalsRowDxfId="49"/>
    <tableColumn id="8" name="Total cost USD" totalsRowFunction="custom" dataDxfId="46" totalsRowDxfId="47" dataCellStyle="Comma">
      <calculatedColumnFormula>[1]!Table_67124[[#This Row],[Estimated '# of Months]]*[1]!Table_67124[[#This Row],[Cost per month]]</calculatedColumnFormula>
      <totalsRowFormula>SUM(Table_67124[Total cost USD])</totalsRowFormula>
    </tableColumn>
    <tableColumn id="10" name="Total No of MDs" totalsRowFunction="sum" dataDxfId="44" totalsRowDxfId="45">
      <calculatedColumnFormula>([1]!Table_67124[[#This Row],[Actual Time (MH)]])*[1]!Table_67124[[#This Row],[Estimated '# of Months]]/8</calculatedColumnFormula>
    </tableColumn>
    <tableColumn id="6" name="Column1" dataDxfId="43">
      <calculatedColumnFormula>[1]!Table_67124[[#This Row],[Total cost USD]]*3.75</calculatedColumnFormula>
    </tableColumn>
  </tableColumns>
  <tableStyleInfo name="OC-style" showFirstColumn="1" showLastColumn="1" showRowStripes="1" showColumnStripes="0"/>
</table>
</file>

<file path=xl/tables/table4.xml><?xml version="1.0" encoding="utf-8"?>
<table xmlns="http://schemas.openxmlformats.org/spreadsheetml/2006/main" id="4" name="Table_6712" displayName="Table_6712" ref="A6:H17" headerRowCount="1" totalsRowCount="1" headerRowDxfId="42">
  <tableColumns count="8">
    <tableColumn id="2" name="Position" dataDxfId="41"/>
    <tableColumn id="3" name="Hour Rate ($)" dataDxfId="39" totalsRowDxfId="40">
      <calculatedColumnFormula>VLOOKUP(A:A,Positions2024!A:B,2,0)</calculatedColumnFormula>
    </tableColumn>
    <tableColumn id="4" name="Actual Time (MH)" dataDxfId="37" totalsRowDxfId="38"/>
    <tableColumn id="5" name="Cost per month" dataDxfId="35" totalsRowDxfId="36">
      <calculatedColumnFormula>Table_6712[[#This Row],[Hour Rate ($)]]*Table_6712[[#This Row],[Actual Time (MH)]]</calculatedColumnFormula>
    </tableColumn>
    <tableColumn id="9" name="Estimated # of Months" dataDxfId="33" totalsRowDxfId="34"/>
    <tableColumn id="8" name="Total cost USD" totalsRowFunction="custom" dataDxfId="31" totalsRowDxfId="32" dataCellStyle="Comma">
      <calculatedColumnFormula>Table_6712[[#This Row],[Estimated '# of Months]]*Table_6712[[#This Row],[Cost per month]]</calculatedColumnFormula>
      <totalsRowFormula>SUM(Table_6712[Total cost USD])</totalsRowFormula>
    </tableColumn>
    <tableColumn id="10" name="Total No of MDs" totalsRowFunction="sum" dataDxfId="29" totalsRowDxfId="30">
      <calculatedColumnFormula>(Table_6712[[#This Row],[Actual Time (MH)]])*Table_6712[[#This Row],[Estimated '# of Months]]/8</calculatedColumnFormula>
    </tableColumn>
    <tableColumn id="6" name="Column1" dataDxfId="28">
      <calculatedColumnFormula>Table_6712[[#This Row],[Total cost USD]]*3.75</calculatedColumnFormula>
    </tableColumn>
  </tableColumns>
  <tableStyleInfo name="OC-style" showFirstColumn="1" showLastColumn="1" showRowStripes="1" showColumnStripes="0"/>
</table>
</file>

<file path=xl/tables/table5.xml><?xml version="1.0" encoding="utf-8"?>
<table xmlns="http://schemas.openxmlformats.org/spreadsheetml/2006/main" id="5" name="Table_67122" displayName="Table_67122" ref="A6:H9" headerRowCount="1" totalsRowCount="1" headerRowDxfId="27">
  <tableColumns count="8">
    <tableColumn id="2" name="Position" dataDxfId="26"/>
    <tableColumn id="3" name="Hour Rate ($)" dataDxfId="24" totalsRowDxfId="25">
      <calculatedColumnFormula>VLOOKUP(A:A,Positions2024!A:B,2,0)</calculatedColumnFormula>
    </tableColumn>
    <tableColumn id="4" name="Actual Time (MH)" dataDxfId="22" totalsRowDxfId="23"/>
    <tableColumn id="5" name="Cost per month" dataDxfId="20" totalsRowDxfId="21">
      <calculatedColumnFormula>Table_67122[[#This Row],[Hour Rate ($)]]*Table_67122[[#This Row],[Actual Time (MH)]]</calculatedColumnFormula>
    </tableColumn>
    <tableColumn id="9" name="Estimated # of Months" dataDxfId="18" totalsRowDxfId="19"/>
    <tableColumn id="8" name="Total cost USD" totalsRowFunction="custom" dataDxfId="16" totalsRowDxfId="17" dataCellStyle="Comma">
      <calculatedColumnFormula>Table_67122[[#This Row],[Estimated '# of Months]]*Table_67122[[#This Row],[Cost per month]]</calculatedColumnFormula>
      <totalsRowFormula>SUM(Table_67122[Total cost USD])</totalsRowFormula>
    </tableColumn>
    <tableColumn id="10" name="Total No of MDs" totalsRowFunction="sum" dataDxfId="14" totalsRowDxfId="15">
      <calculatedColumnFormula>(Table_67122[[#This Row],[Actual Time (MH)]])*Table_67122[[#This Row],[Estimated '# of Months]]/8</calculatedColumnFormula>
    </tableColumn>
    <tableColumn id="6" name="Column1" dataDxfId="13">
      <calculatedColumnFormula>Table_67122[[#This Row],[Total cost USD]]*3.75</calculatedColumnFormula>
    </tableColumn>
  </tableColumns>
  <tableStyleInfo name="OC-style" showFirstColumn="1" showLastColumn="1" showRowStripes="1" showColumnStripes="0"/>
</table>
</file>

<file path=xl/tables/table6.xml><?xml version="1.0" encoding="utf-8"?>
<table xmlns="http://schemas.openxmlformats.org/spreadsheetml/2006/main" id="6" name="Table_17" displayName="Table_17" ref="A1:C37" headerRowCount="1" headerRowDxfId="12" totalsRowDxfId="11">
  <tableColumns count="3">
    <tableColumn id="1" name="Position" dataDxfId="10"/>
    <tableColumn id="2" name="Hour Rate" dataDxfId="9">
      <calculatedColumnFormula>C2/8</calculatedColumnFormula>
    </tableColumn>
    <tableColumn id="3" name="MD Rate" dataDxfId="8"/>
  </tableColumns>
  <tableStyleInfo name="TableStyleMedium4" showFirstColumn="1" showLastColumn="1" showRowStripes="1" showColumnStripes="0"/>
</table>
</file>

<file path=xl/tables/table7.xml><?xml version="1.0" encoding="utf-8"?>
<table xmlns="http://schemas.openxmlformats.org/spreadsheetml/2006/main" id="7" name="Table_1" displayName="Table_1" ref="A1:C24" headerRowCount="1">
  <tableColumns count="3">
    <tableColumn id="1" name="Position" dataDxfId="7"/>
    <tableColumn id="2" name="Hour Rate" dataDxfId="6">
      <calculatedColumnFormula>Table_1[[#This Row],[MD Rate]]/8</calculatedColumnFormula>
    </tableColumn>
    <tableColumn id="3" name="MD Rate" dataDxfId="5" dataCellStyle="Comma"/>
  </tableColumns>
  <tableStyleInfo name="Positions-style" showFirstColumn="1" showLastColumn="1" showRowStripes="1" showColumnStripes="0"/>
</table>
</file>

<file path=xl/tables/table8.xml><?xml version="1.0" encoding="utf-8"?>
<table xmlns="http://schemas.openxmlformats.org/spreadsheetml/2006/main" id="8" name="Table_175" displayName="Table_175" ref="A1:C37" headerRowCount="1" headerRowDxfId="4" totalsRowDxfId="3">
  <tableColumns count="3">
    <tableColumn id="1" name="Position" dataDxfId="2"/>
    <tableColumn id="2" name="Hour Rate" dataDxfId="1">
      <calculatedColumnFormula>C2/8</calculatedColumnFormula>
    </tableColumn>
    <tableColumn id="3" name="MD Rate" dataDxfId="0"/>
  </tableColumns>
  <tableStyleInfo name="TableStyleMedium4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opLeftCell="C6" zoomScaleNormal="100" workbookViewId="0">
      <selection activeCell="E17" sqref="E17"/>
    </sheetView>
  </sheetViews>
  <sheetFormatPr baseColWidth="8" defaultRowHeight="14.1"/>
  <cols>
    <col width="2.375" customWidth="1" min="1" max="1"/>
    <col width="3.375" bestFit="1" customWidth="1" min="2" max="2"/>
    <col width="42.375" customWidth="1" min="3" max="3"/>
    <col width="17.375" customWidth="1" min="4" max="4"/>
    <col width="18.375" customWidth="1" min="5" max="5"/>
    <col width="14.375" customWidth="1" min="6" max="6"/>
    <col width="18.375" customWidth="1" min="7" max="7"/>
    <col width="17.375" customWidth="1" min="8" max="8"/>
    <col width="19.375" customWidth="1" min="9" max="9"/>
    <col width="20.375" customWidth="1" min="10" max="10"/>
    <col width="16.375" bestFit="1" customWidth="1" min="11" max="11"/>
  </cols>
  <sheetData>
    <row r="1" ht="24.95" customHeight="1">
      <c r="A1" s="86" t="inlineStr">
        <is>
          <t>Project Budget</t>
        </is>
      </c>
    </row>
    <row r="2" ht="15.75" customHeight="1">
      <c r="B2" s="277" t="n"/>
      <c r="C2" s="278" t="n"/>
      <c r="D2" s="278" t="n"/>
      <c r="E2" s="279" t="n"/>
      <c r="G2" s="249" t="inlineStr">
        <is>
          <t>Approved Budget Changes</t>
        </is>
      </c>
    </row>
    <row r="3" ht="15.75" customHeight="1">
      <c r="B3" s="280" t="n"/>
      <c r="C3" s="96" t="inlineStr">
        <is>
          <t>Project Name</t>
        </is>
      </c>
      <c r="D3" s="281" t="n"/>
      <c r="E3" s="279" t="n"/>
      <c r="G3" s="96" t="inlineStr">
        <is>
          <t>Reason</t>
        </is>
      </c>
      <c r="H3" s="96" t="inlineStr">
        <is>
          <t>Plan or CR ID</t>
        </is>
      </c>
      <c r="I3" s="96" t="inlineStr">
        <is>
          <t>Changes Cost</t>
        </is>
      </c>
      <c r="J3" s="96" t="inlineStr">
        <is>
          <t>Changes Revenue</t>
        </is>
      </c>
    </row>
    <row r="4" ht="14.45" customHeight="1">
      <c r="B4" s="282" t="n"/>
      <c r="C4" s="96" t="inlineStr">
        <is>
          <t>Client</t>
        </is>
      </c>
      <c r="D4" s="283" t="n"/>
      <c r="E4" s="279" t="n"/>
      <c r="G4" s="10" t="n"/>
      <c r="H4" s="10" t="n"/>
      <c r="I4" s="200" t="n"/>
      <c r="J4" s="200" t="n"/>
    </row>
    <row r="5" ht="14.45" customHeight="1">
      <c r="B5" s="282" t="n"/>
      <c r="C5" s="96" t="inlineStr">
        <is>
          <t>Contract start date</t>
        </is>
      </c>
      <c r="D5" s="283" t="n"/>
      <c r="E5" s="279" t="n"/>
      <c r="G5" s="10" t="n"/>
      <c r="H5" s="10" t="n"/>
      <c r="I5" s="200" t="n"/>
      <c r="J5" s="201" t="n"/>
    </row>
    <row r="6" ht="15.6" customHeight="1">
      <c r="B6" s="282" t="n"/>
      <c r="C6" s="96" t="inlineStr">
        <is>
          <t>Contract end date</t>
        </is>
      </c>
      <c r="D6" s="283" t="n"/>
      <c r="E6" s="279" t="n"/>
      <c r="G6" s="10" t="n"/>
      <c r="H6" s="10" t="n"/>
      <c r="I6" s="50" t="n"/>
      <c r="J6" s="50" t="n"/>
    </row>
    <row r="7" ht="15.6" customHeight="1">
      <c r="B7" s="282" t="n"/>
      <c r="C7" s="96" t="inlineStr">
        <is>
          <t>Contract duration</t>
        </is>
      </c>
      <c r="D7" s="283" t="n"/>
      <c r="E7" s="279" t="n"/>
      <c r="G7" s="10" t="n"/>
      <c r="H7" s="10" t="n"/>
      <c r="I7" s="50" t="n"/>
      <c r="J7" s="50" t="n"/>
    </row>
    <row r="8" ht="15.6" customHeight="1">
      <c r="B8" s="282" t="n"/>
      <c r="C8" s="96" t="inlineStr">
        <is>
          <t>Contract Type</t>
        </is>
      </c>
      <c r="D8" s="283" t="inlineStr">
        <is>
          <t>FS</t>
        </is>
      </c>
      <c r="E8" s="279" t="n"/>
      <c r="G8" s="10" t="n"/>
      <c r="H8" s="10" t="n"/>
      <c r="I8" s="50" t="n"/>
      <c r="J8" s="50" t="n"/>
    </row>
    <row r="9" ht="15.6" customHeight="1">
      <c r="B9" s="284" t="n"/>
      <c r="C9" s="96" t="inlineStr">
        <is>
          <t>Scope</t>
        </is>
      </c>
      <c r="D9" s="283" t="n"/>
      <c r="E9" s="279" t="n"/>
      <c r="G9" s="10" t="n"/>
      <c r="H9" s="10" t="n"/>
      <c r="I9" s="50" t="n"/>
      <c r="J9" s="50" t="n"/>
    </row>
    <row r="10" ht="15.6" customHeight="1">
      <c r="B10" s="260" t="n"/>
      <c r="C10" s="96" t="inlineStr">
        <is>
          <t>Support start and end dates</t>
        </is>
      </c>
      <c r="D10" s="32" t="n">
        <v>46525</v>
      </c>
      <c r="E10" s="32" t="n">
        <v>46890</v>
      </c>
      <c r="G10" s="10" t="n"/>
      <c r="H10" s="10" t="n"/>
      <c r="I10" s="50" t="n"/>
      <c r="J10" s="50" t="n"/>
    </row>
    <row r="11" ht="15.6" customHeight="1">
      <c r="B11" s="260" t="n"/>
      <c r="C11" s="96" t="inlineStr">
        <is>
          <t>Progress</t>
        </is>
      </c>
      <c r="D11" s="285">
        <f>'Profitability - Consultation'!Q1</f>
        <v/>
      </c>
      <c r="E11" s="279" t="n"/>
      <c r="G11" s="10" t="n"/>
      <c r="H11" s="10" t="n"/>
      <c r="I11" s="50" t="n"/>
      <c r="J11" s="50" t="n"/>
    </row>
    <row r="12" ht="21.75" customHeight="1">
      <c r="B12" s="12" t="inlineStr">
        <is>
          <t>(1)</t>
        </is>
      </c>
      <c r="C12" s="286" t="inlineStr">
        <is>
          <t>Total Mandays</t>
        </is>
      </c>
      <c r="D12" s="287" t="n"/>
      <c r="E12" s="60">
        <f>Table_6712[[#Totals],[Total No of MDs]]</f>
        <v/>
      </c>
      <c r="G12" s="246" t="inlineStr">
        <is>
          <t>Total Changes on Budget</t>
        </is>
      </c>
      <c r="H12" s="288" t="n"/>
      <c r="I12" s="14">
        <f>SUM(I4:I8)</f>
        <v/>
      </c>
      <c r="J12" s="14">
        <f>SUM(J4:J8)</f>
        <v/>
      </c>
    </row>
    <row r="13" ht="21.75" customHeight="1">
      <c r="B13" s="97" t="n"/>
      <c r="C13" s="98" t="n"/>
      <c r="D13" s="98" t="n"/>
      <c r="E13" s="102" t="n"/>
      <c r="G13" s="99" t="n"/>
      <c r="H13" s="99" t="n"/>
      <c r="I13" s="100" t="n"/>
      <c r="J13" s="101" t="n"/>
    </row>
    <row r="14" ht="15.75" customHeight="1">
      <c r="B14" s="277" t="inlineStr">
        <is>
          <t>Approved Project Budget</t>
        </is>
      </c>
      <c r="C14" s="278" t="n"/>
      <c r="D14" s="278" t="n"/>
      <c r="E14" s="279" t="n"/>
      <c r="F14" s="103" t="n"/>
      <c r="G14" s="107" t="inlineStr">
        <is>
          <t>Final Budget (SAR)</t>
        </is>
      </c>
      <c r="H14" s="108" t="n"/>
      <c r="I14" s="109" t="n"/>
    </row>
    <row r="15" ht="21.75" customHeight="1">
      <c r="B15" s="12" t="inlineStr">
        <is>
          <t>(2)</t>
        </is>
      </c>
      <c r="C15" s="286" t="inlineStr">
        <is>
          <t>Total Estimated Cost ($)</t>
        </is>
      </c>
      <c r="D15" s="287" t="n"/>
      <c r="E15" s="289">
        <f>Table_6712[[#Totals],[Total cost USD]]</f>
        <v/>
      </c>
      <c r="F15" s="103" t="n"/>
      <c r="G15" s="246" t="inlineStr">
        <is>
          <t>Total Cost after changes</t>
        </is>
      </c>
      <c r="H15" s="288" t="n"/>
      <c r="I15" s="106">
        <f>E16+I12</f>
        <v/>
      </c>
      <c r="J15" s="37" t="n"/>
    </row>
    <row r="16" ht="21.75" customHeight="1">
      <c r="B16" s="12" t="inlineStr">
        <is>
          <t>(3)</t>
        </is>
      </c>
      <c r="C16" s="290" t="inlineStr">
        <is>
          <t>Total Estimated Cost (SAR)</t>
        </is>
      </c>
      <c r="D16" s="291" t="n"/>
      <c r="E16" s="50">
        <f>'Estimated Cost - Consultation'!D23</f>
        <v/>
      </c>
      <c r="F16" s="104" t="n"/>
      <c r="G16" s="248" t="inlineStr">
        <is>
          <t>Total Revenue after changes</t>
        </is>
      </c>
      <c r="H16" s="292" t="n"/>
      <c r="I16" s="105">
        <f>E17+J12</f>
        <v/>
      </c>
    </row>
    <row r="17" ht="21.75" customHeight="1">
      <c r="B17" s="12" t="inlineStr">
        <is>
          <t>(4)</t>
        </is>
      </c>
      <c r="C17" s="290" t="inlineStr">
        <is>
          <t>Total Revenue</t>
        </is>
      </c>
      <c r="D17" s="291" t="n"/>
      <c r="E17" s="74" t="n">
        <v>6641250</v>
      </c>
      <c r="F17" s="104" t="n">
        <v>10312459</v>
      </c>
      <c r="G17" s="248" t="inlineStr">
        <is>
          <t>Budget Profit (SAR)</t>
        </is>
      </c>
      <c r="H17" s="292" t="n"/>
      <c r="I17" s="105">
        <f>I16-I15</f>
        <v/>
      </c>
    </row>
    <row r="18" ht="21.75" customHeight="1">
      <c r="B18" s="12" t="inlineStr">
        <is>
          <t>(5)</t>
        </is>
      </c>
      <c r="C18" s="290" t="inlineStr">
        <is>
          <t>Budget Profit (SAR)</t>
        </is>
      </c>
      <c r="D18" s="291" t="n"/>
      <c r="E18" s="51">
        <f>E17-E16</f>
        <v/>
      </c>
      <c r="F18" s="103" t="n"/>
      <c r="G18" s="270" t="inlineStr">
        <is>
          <t>Budget Profit (%)</t>
        </is>
      </c>
      <c r="H18" s="293" t="n"/>
      <c r="I18" s="52">
        <f>I17/I16</f>
        <v/>
      </c>
      <c r="J18" s="37" t="n"/>
      <c r="K18" s="69" t="n"/>
    </row>
    <row r="19" ht="21.75" customHeight="1">
      <c r="B19" s="12" t="inlineStr">
        <is>
          <t>(6)</t>
        </is>
      </c>
      <c r="C19" s="294" t="inlineStr">
        <is>
          <t>Budget Profit (%)</t>
        </is>
      </c>
      <c r="D19" s="295" t="n"/>
      <c r="E19" s="52">
        <f>E18/E17</f>
        <v/>
      </c>
    </row>
    <row r="21" ht="15.6" customHeight="1">
      <c r="C21" s="294" t="inlineStr">
        <is>
          <t>Estimated MD cost (SAR)</t>
        </is>
      </c>
      <c r="D21" s="295" t="n"/>
      <c r="E21" s="51">
        <f>E16/E12</f>
        <v/>
      </c>
      <c r="F21" s="37" t="n"/>
      <c r="G21" s="59" t="n"/>
      <c r="J21" s="66" t="n"/>
    </row>
    <row r="22">
      <c r="C22" s="36" t="n"/>
      <c r="D22" s="36" t="n"/>
      <c r="E22" s="36" t="n"/>
      <c r="F22" s="58" t="n"/>
    </row>
    <row r="23" ht="15.75" customHeight="1">
      <c r="C23" s="294" t="inlineStr">
        <is>
          <t>Estimated MD Price (SAR)</t>
        </is>
      </c>
      <c r="D23" s="295" t="n"/>
      <c r="E23" s="51">
        <f>E17/E12</f>
        <v/>
      </c>
    </row>
    <row r="24">
      <c r="C24" s="36" t="n"/>
      <c r="D24" s="36" t="n"/>
    </row>
    <row r="25" ht="15.75" customHeight="1">
      <c r="B25" s="250" t="inlineStr">
        <is>
          <t>Invoices Schedule</t>
        </is>
      </c>
    </row>
    <row r="26">
      <c r="B26" s="15" t="inlineStr">
        <is>
          <t>#</t>
        </is>
      </c>
      <c r="C26" s="13" t="inlineStr">
        <is>
          <t>Invoiced Item</t>
        </is>
      </c>
      <c r="D26" s="15" t="inlineStr">
        <is>
          <t>Planned Date</t>
        </is>
      </c>
      <c r="E26" s="15" t="inlineStr">
        <is>
          <t>Invoice Value</t>
        </is>
      </c>
      <c r="F26" s="35" t="inlineStr">
        <is>
          <t>Business Line</t>
        </is>
      </c>
      <c r="G26" s="35" t="inlineStr">
        <is>
          <t>Status</t>
        </is>
      </c>
    </row>
    <row r="27" ht="21" customHeight="1">
      <c r="B27" s="10" t="n">
        <v>1</v>
      </c>
      <c r="C27" s="10" t="n"/>
      <c r="D27" s="32" t="n"/>
      <c r="E27" s="33" t="n"/>
      <c r="F27" s="111" t="inlineStr">
        <is>
          <t>License</t>
        </is>
      </c>
      <c r="G27" s="32" t="n"/>
    </row>
    <row r="28" ht="21" customHeight="1">
      <c r="B28" s="10" t="n">
        <v>2</v>
      </c>
      <c r="C28" s="10" t="n"/>
      <c r="D28" s="10" t="n"/>
      <c r="E28" s="34" t="n"/>
      <c r="F28" s="10" t="inlineStr">
        <is>
          <t>Service</t>
        </is>
      </c>
      <c r="G28" s="10" t="n"/>
      <c r="K28" s="296" t="n"/>
    </row>
    <row r="29" ht="21" customHeight="1">
      <c r="B29" s="10" t="n">
        <v>3</v>
      </c>
      <c r="C29" s="10" t="n"/>
      <c r="D29" s="10" t="n"/>
      <c r="E29" s="34" t="n"/>
      <c r="F29" s="10" t="inlineStr">
        <is>
          <t>3rd Party</t>
        </is>
      </c>
      <c r="G29" s="10" t="n"/>
    </row>
    <row r="30" ht="21" customHeight="1">
      <c r="B30" s="10" t="n">
        <v>4</v>
      </c>
      <c r="C30" s="10" t="n"/>
      <c r="D30" s="10" t="n"/>
      <c r="E30" s="34" t="n"/>
      <c r="F30" s="10" t="n"/>
      <c r="G30" s="10" t="n"/>
      <c r="I30" s="58" t="n"/>
    </row>
    <row r="31">
      <c r="B31" s="10" t="n">
        <v>5</v>
      </c>
      <c r="C31" s="10" t="n"/>
      <c r="D31" s="10" t="n"/>
      <c r="E31" s="34" t="n"/>
      <c r="F31" s="10" t="n"/>
      <c r="G31" s="10" t="n"/>
    </row>
    <row r="32">
      <c r="B32" s="10" t="n">
        <v>6</v>
      </c>
      <c r="C32" s="10" t="n"/>
      <c r="D32" s="10" t="n"/>
      <c r="E32" s="34" t="n"/>
      <c r="F32" s="10" t="n"/>
      <c r="G32" s="10" t="n"/>
    </row>
    <row r="33">
      <c r="B33" s="10" t="n">
        <v>7</v>
      </c>
      <c r="C33" s="10" t="n"/>
      <c r="D33" s="10" t="n"/>
      <c r="E33" s="34" t="n"/>
      <c r="F33" s="10" t="n"/>
      <c r="G33" s="10" t="n"/>
    </row>
    <row r="34">
      <c r="B34" s="10" t="n">
        <v>8</v>
      </c>
      <c r="C34" s="10" t="n"/>
      <c r="D34" s="10" t="n"/>
      <c r="E34" s="34" t="n"/>
      <c r="F34" s="10" t="n"/>
      <c r="G34" s="10" t="n"/>
    </row>
    <row r="35">
      <c r="B35" s="10" t="n">
        <v>9</v>
      </c>
      <c r="C35" s="10" t="n"/>
      <c r="D35" s="10" t="n"/>
      <c r="E35" s="34" t="n"/>
      <c r="F35" s="10" t="n"/>
      <c r="G35" s="10" t="n"/>
    </row>
    <row r="36">
      <c r="B36" s="10" t="n">
        <v>10</v>
      </c>
      <c r="C36" s="10" t="n"/>
      <c r="D36" s="10" t="n"/>
      <c r="E36" s="34" t="n"/>
      <c r="F36" s="10" t="n"/>
      <c r="G36" s="10" t="n"/>
    </row>
  </sheetData>
  <mergeCells count="26">
    <mergeCell ref="G12:H12"/>
    <mergeCell ref="C15:D15"/>
    <mergeCell ref="G17:H17"/>
    <mergeCell ref="D6:E6"/>
    <mergeCell ref="C16:D16"/>
    <mergeCell ref="D11:E11"/>
    <mergeCell ref="G2:J2"/>
    <mergeCell ref="G18:H18"/>
    <mergeCell ref="C12:D12"/>
    <mergeCell ref="C21:D21"/>
    <mergeCell ref="D7:E7"/>
    <mergeCell ref="G15:H15"/>
    <mergeCell ref="D4:E4"/>
    <mergeCell ref="B2:E2"/>
    <mergeCell ref="B3:B9"/>
    <mergeCell ref="D3:E3"/>
    <mergeCell ref="D9:E9"/>
    <mergeCell ref="C17:D17"/>
    <mergeCell ref="C23:D23"/>
    <mergeCell ref="B14:E14"/>
    <mergeCell ref="B25:G25"/>
    <mergeCell ref="D8:E8"/>
    <mergeCell ref="G16:H16"/>
    <mergeCell ref="C19:D19"/>
    <mergeCell ref="D5:E5"/>
    <mergeCell ref="C18:D1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opLeftCell="A11" zoomScaleNormal="100" workbookViewId="0">
      <selection activeCell="E17" sqref="E17"/>
    </sheetView>
  </sheetViews>
  <sheetFormatPr baseColWidth="8" defaultRowHeight="14.1"/>
  <cols>
    <col width="2.375" customWidth="1" min="1" max="1"/>
    <col width="3.375" bestFit="1" customWidth="1" min="2" max="2"/>
    <col width="42.375" customWidth="1" min="3" max="3"/>
    <col width="17.375" customWidth="1" min="4" max="4"/>
    <col width="18.375" customWidth="1" min="5" max="5"/>
    <col width="14.375" customWidth="1" min="6" max="6"/>
    <col width="18.375" customWidth="1" min="7" max="7"/>
    <col width="17.375" customWidth="1" min="8" max="8"/>
    <col width="19.375" customWidth="1" min="9" max="9"/>
    <col width="20.375" customWidth="1" min="10" max="10"/>
    <col width="16.375" bestFit="1" customWidth="1" min="11" max="11"/>
  </cols>
  <sheetData>
    <row r="1" ht="24.95" customHeight="1">
      <c r="A1" s="86" t="inlineStr">
        <is>
          <t>Project Budget</t>
        </is>
      </c>
    </row>
    <row r="2" ht="15.75" customHeight="1">
      <c r="B2" s="277" t="n"/>
      <c r="C2" s="278" t="n"/>
      <c r="D2" s="278" t="n"/>
      <c r="E2" s="279" t="n"/>
      <c r="G2" s="249" t="inlineStr">
        <is>
          <t>Approved Budget Changes</t>
        </is>
      </c>
    </row>
    <row r="3" ht="15.75" customHeight="1">
      <c r="B3" s="280" t="n"/>
      <c r="C3" s="96" t="inlineStr">
        <is>
          <t>Project Name</t>
        </is>
      </c>
      <c r="D3" s="281" t="inlineStr">
        <is>
          <t>Abdelrahman Doghish</t>
        </is>
      </c>
      <c r="E3" s="279" t="n"/>
      <c r="G3" s="96" t="inlineStr">
        <is>
          <t>Reason</t>
        </is>
      </c>
      <c r="H3" s="96" t="inlineStr">
        <is>
          <t>Plan or CR ID</t>
        </is>
      </c>
      <c r="I3" s="96" t="inlineStr">
        <is>
          <t>Changes Cost</t>
        </is>
      </c>
      <c r="J3" s="96" t="inlineStr">
        <is>
          <t>Changes Revenue</t>
        </is>
      </c>
    </row>
    <row r="4" ht="14.45" customHeight="1">
      <c r="B4" s="282" t="n"/>
      <c r="C4" s="96" t="inlineStr">
        <is>
          <t>Client</t>
        </is>
      </c>
      <c r="D4" s="283" t="n"/>
      <c r="E4" s="279" t="n"/>
      <c r="G4" s="10" t="inlineStr">
        <is>
          <t>Third party license</t>
        </is>
      </c>
      <c r="H4" s="10" t="n"/>
      <c r="J4" s="200" t="n">
        <v>-420000</v>
      </c>
    </row>
    <row r="5" ht="14.45" customHeight="1">
      <c r="B5" s="282" t="n"/>
      <c r="C5" s="96" t="inlineStr">
        <is>
          <t>Contract start date</t>
        </is>
      </c>
      <c r="D5" s="283" t="n"/>
      <c r="E5" s="279" t="n"/>
      <c r="G5" s="10" t="inlineStr">
        <is>
          <t>Outsystems license</t>
        </is>
      </c>
      <c r="H5" s="10" t="n"/>
      <c r="I5" s="200" t="n"/>
      <c r="J5" s="200" t="n">
        <v>-3960000</v>
      </c>
    </row>
    <row r="6" ht="15.6" customHeight="1">
      <c r="B6" s="282" t="n"/>
      <c r="C6" s="96" t="inlineStr">
        <is>
          <t>Contract end date</t>
        </is>
      </c>
      <c r="D6" s="283" t="n"/>
      <c r="E6" s="279" t="n"/>
      <c r="G6" s="10" t="n"/>
      <c r="H6" s="10" t="n"/>
      <c r="I6" s="50" t="n"/>
      <c r="J6" s="200" t="n"/>
    </row>
    <row r="7" ht="15.6" customHeight="1">
      <c r="B7" s="282" t="n"/>
      <c r="C7" s="96" t="inlineStr">
        <is>
          <t>Contract duration</t>
        </is>
      </c>
      <c r="D7" s="283" t="n"/>
      <c r="E7" s="279" t="n"/>
      <c r="G7" s="10" t="n"/>
      <c r="H7" s="10" t="n"/>
      <c r="I7" s="50" t="n"/>
      <c r="J7" s="200" t="n"/>
    </row>
    <row r="8" ht="15.6" customHeight="1">
      <c r="B8" s="282" t="n"/>
      <c r="C8" s="96" t="inlineStr">
        <is>
          <t>Contract Type</t>
        </is>
      </c>
      <c r="D8" s="283" t="inlineStr">
        <is>
          <t>FS</t>
        </is>
      </c>
      <c r="E8" s="279" t="n"/>
      <c r="G8" s="10" t="n"/>
      <c r="H8" s="10" t="n"/>
      <c r="I8" s="50" t="n"/>
      <c r="J8" s="200" t="n"/>
    </row>
    <row r="9" ht="15.6" customHeight="1">
      <c r="B9" s="284" t="n"/>
      <c r="C9" s="96" t="inlineStr">
        <is>
          <t>Scope</t>
        </is>
      </c>
      <c r="D9" s="283" t="n"/>
      <c r="E9" s="279" t="n"/>
      <c r="G9" s="10" t="n"/>
      <c r="H9" s="10" t="n"/>
      <c r="I9" s="50" t="n"/>
      <c r="J9" s="200" t="n"/>
    </row>
    <row r="10" ht="15.6" customHeight="1">
      <c r="B10" s="260" t="n"/>
      <c r="C10" s="96" t="inlineStr">
        <is>
          <t>Support start and end dates</t>
        </is>
      </c>
      <c r="D10" s="32" t="n">
        <v>46525</v>
      </c>
      <c r="E10" s="32" t="n">
        <v>46890</v>
      </c>
      <c r="G10" s="10" t="n"/>
      <c r="H10" s="10" t="n"/>
      <c r="I10" s="50" t="n"/>
      <c r="J10" s="200" t="n"/>
    </row>
    <row r="11" ht="15.6" customHeight="1">
      <c r="B11" s="260" t="n"/>
      <c r="C11" s="96" t="inlineStr">
        <is>
          <t>Progress</t>
        </is>
      </c>
      <c r="D11" s="285">
        <f>'Profitability - Consultation'!Q1</f>
        <v/>
      </c>
      <c r="E11" s="279" t="n"/>
      <c r="G11" s="10" t="n"/>
      <c r="H11" s="10" t="n"/>
      <c r="I11" s="50" t="n"/>
      <c r="J11" s="200" t="n"/>
    </row>
    <row r="12" ht="21.75" customHeight="1">
      <c r="B12" s="12" t="inlineStr">
        <is>
          <t>(1)</t>
        </is>
      </c>
      <c r="C12" s="286" t="inlineStr">
        <is>
          <t>Total Mandays</t>
        </is>
      </c>
      <c r="D12" s="287" t="n"/>
      <c r="E12" s="60">
        <f>Table_67124[[#Totals],[Total No of MDs]]</f>
        <v/>
      </c>
      <c r="G12" s="246" t="inlineStr">
        <is>
          <t>Total Changes on Budget</t>
        </is>
      </c>
      <c r="H12" s="288" t="n"/>
      <c r="I12" s="14">
        <f>SUM(I4:I8)</f>
        <v/>
      </c>
      <c r="J12" s="14">
        <f>SUM(J4:J8)</f>
        <v/>
      </c>
    </row>
    <row r="13" ht="21.75" customHeight="1">
      <c r="B13" s="97" t="n"/>
      <c r="C13" s="98" t="n"/>
      <c r="D13" s="98" t="n"/>
      <c r="E13" s="102" t="n"/>
      <c r="G13" s="99" t="n"/>
      <c r="H13" s="99" t="n"/>
      <c r="I13" s="100" t="n"/>
      <c r="J13" s="101" t="n"/>
    </row>
    <row r="14" ht="15.75" customHeight="1">
      <c r="B14" s="277" t="inlineStr">
        <is>
          <t>Approved Project Budget</t>
        </is>
      </c>
      <c r="C14" s="278" t="n"/>
      <c r="D14" s="278" t="n"/>
      <c r="E14" s="279" t="n"/>
      <c r="F14" s="103" t="n"/>
      <c r="G14" s="107" t="inlineStr">
        <is>
          <t>Final Budget (SAR)</t>
        </is>
      </c>
      <c r="H14" s="108" t="n"/>
      <c r="I14" s="109" t="n"/>
    </row>
    <row r="15" ht="21.75" customHeight="1">
      <c r="B15" s="12" t="inlineStr">
        <is>
          <t>(2)</t>
        </is>
      </c>
      <c r="C15" s="286" t="inlineStr">
        <is>
          <t>Total Estimated Cost ($)</t>
        </is>
      </c>
      <c r="D15" s="287" t="n"/>
      <c r="E15" s="289">
        <f>Table_67124[[#Totals],[Total cost USD]]</f>
        <v/>
      </c>
      <c r="F15" s="103" t="n"/>
      <c r="G15" s="246" t="inlineStr">
        <is>
          <t>Total Cost after changes</t>
        </is>
      </c>
      <c r="H15" s="288" t="n"/>
      <c r="I15" s="106">
        <f>E16+I12</f>
        <v/>
      </c>
      <c r="J15" s="37" t="n"/>
    </row>
    <row r="16" ht="21.75" customHeight="1">
      <c r="B16" s="12" t="inlineStr">
        <is>
          <t>(3)</t>
        </is>
      </c>
      <c r="C16" s="290" t="inlineStr">
        <is>
          <t>Total Estimated Cost (SAR)</t>
        </is>
      </c>
      <c r="D16" s="291" t="n"/>
      <c r="E16" s="50">
        <f>'Estimated Cost - Development'!D33</f>
        <v/>
      </c>
      <c r="F16" s="104" t="n"/>
      <c r="G16" s="248" t="inlineStr">
        <is>
          <t>Total Revenue after changes</t>
        </is>
      </c>
      <c r="H16" s="292" t="n"/>
      <c r="I16" s="105">
        <f>E17+J12</f>
        <v/>
      </c>
    </row>
    <row r="17" ht="21.75" customHeight="1">
      <c r="B17" s="12" t="inlineStr">
        <is>
          <t>(4)</t>
        </is>
      </c>
      <c r="C17" s="290" t="inlineStr">
        <is>
          <t>Total Revenue</t>
        </is>
      </c>
      <c r="D17" s="291" t="n"/>
      <c r="E17" s="74" t="n">
        <v>20570344</v>
      </c>
      <c r="F17" s="104" t="n"/>
      <c r="G17" s="248" t="inlineStr">
        <is>
          <t>Budget Profit (SAR)</t>
        </is>
      </c>
      <c r="H17" s="292" t="n"/>
      <c r="I17" s="105">
        <f>I16-I15</f>
        <v/>
      </c>
    </row>
    <row r="18" ht="21.75" customHeight="1">
      <c r="B18" s="12" t="inlineStr">
        <is>
          <t>(5)</t>
        </is>
      </c>
      <c r="C18" s="290" t="inlineStr">
        <is>
          <t>Budget Profit (SAR)</t>
        </is>
      </c>
      <c r="D18" s="291" t="n"/>
      <c r="E18" s="51">
        <f>E17-E16</f>
        <v/>
      </c>
      <c r="F18" s="103" t="n"/>
      <c r="G18" s="270" t="inlineStr">
        <is>
          <t>Budget Profit (%)</t>
        </is>
      </c>
      <c r="H18" s="293" t="n"/>
      <c r="I18" s="52">
        <f>I17/I16</f>
        <v/>
      </c>
      <c r="J18" s="37" t="n"/>
      <c r="K18" s="69" t="n"/>
    </row>
    <row r="19" ht="21.75" customHeight="1">
      <c r="B19" s="12" t="inlineStr">
        <is>
          <t>(6)</t>
        </is>
      </c>
      <c r="C19" s="294" t="inlineStr">
        <is>
          <t>Budget Profit (%)</t>
        </is>
      </c>
      <c r="D19" s="295" t="n"/>
      <c r="E19" s="52">
        <f>E18/E17</f>
        <v/>
      </c>
    </row>
    <row r="21" ht="15.6" customHeight="1">
      <c r="C21" s="294" t="inlineStr">
        <is>
          <t>Estimated MD cost (SAR)</t>
        </is>
      </c>
      <c r="D21" s="295" t="n"/>
      <c r="E21" s="51">
        <f>E16/E12</f>
        <v/>
      </c>
      <c r="F21" s="37" t="n"/>
      <c r="G21" s="59" t="n"/>
      <c r="J21" s="66" t="n"/>
    </row>
    <row r="22">
      <c r="C22" s="36" t="n"/>
      <c r="D22" s="36" t="n"/>
      <c r="E22" s="36" t="n"/>
      <c r="F22" s="58" t="n"/>
    </row>
    <row r="23" ht="15.75" customHeight="1">
      <c r="C23" s="294" t="inlineStr">
        <is>
          <t>Estimated MD Price (SAR)</t>
        </is>
      </c>
      <c r="D23" s="295" t="n"/>
      <c r="E23" s="51">
        <f>E17/E12</f>
        <v/>
      </c>
    </row>
    <row r="24">
      <c r="C24" s="36" t="n"/>
      <c r="D24" s="36" t="n"/>
    </row>
    <row r="25" ht="15.75" customHeight="1">
      <c r="B25" s="250" t="inlineStr">
        <is>
          <t>Invoices Schedule</t>
        </is>
      </c>
    </row>
    <row r="26">
      <c r="B26" s="15" t="inlineStr">
        <is>
          <t>#</t>
        </is>
      </c>
      <c r="C26" s="13" t="inlineStr">
        <is>
          <t>Invoiced Item</t>
        </is>
      </c>
      <c r="D26" s="15" t="inlineStr">
        <is>
          <t>Planned Date</t>
        </is>
      </c>
      <c r="E26" s="15" t="inlineStr">
        <is>
          <t>Invoice Value</t>
        </is>
      </c>
      <c r="F26" s="35" t="inlineStr">
        <is>
          <t>Business Line</t>
        </is>
      </c>
      <c r="G26" s="35" t="inlineStr">
        <is>
          <t>Status</t>
        </is>
      </c>
    </row>
    <row r="27" ht="21" customHeight="1">
      <c r="B27" s="10" t="n">
        <v>1</v>
      </c>
      <c r="C27" s="10" t="n"/>
      <c r="D27" s="32" t="n"/>
      <c r="E27" s="33" t="n"/>
      <c r="F27" s="111" t="inlineStr">
        <is>
          <t>License</t>
        </is>
      </c>
      <c r="G27" s="32" t="n"/>
    </row>
    <row r="28" ht="21" customHeight="1">
      <c r="B28" s="10" t="n">
        <v>2</v>
      </c>
      <c r="C28" s="10" t="n"/>
      <c r="D28" s="10" t="n"/>
      <c r="E28" s="34" t="n"/>
      <c r="F28" s="10" t="inlineStr">
        <is>
          <t>Service</t>
        </is>
      </c>
      <c r="G28" s="10" t="n"/>
      <c r="K28" s="296" t="n"/>
    </row>
    <row r="29" ht="21" customHeight="1">
      <c r="B29" s="10" t="n">
        <v>3</v>
      </c>
      <c r="C29" s="10" t="n"/>
      <c r="D29" s="10" t="n"/>
      <c r="E29" s="34" t="n"/>
      <c r="F29" s="10" t="inlineStr">
        <is>
          <t>3rd Party</t>
        </is>
      </c>
      <c r="G29" s="10" t="n"/>
    </row>
    <row r="30" ht="21" customHeight="1">
      <c r="B30" s="10" t="n">
        <v>4</v>
      </c>
      <c r="C30" s="10" t="n"/>
      <c r="D30" s="10" t="n"/>
      <c r="E30" s="34" t="n"/>
      <c r="F30" s="10" t="n"/>
      <c r="G30" s="10" t="n"/>
      <c r="I30" s="58" t="n"/>
    </row>
    <row r="31">
      <c r="B31" s="10" t="n">
        <v>5</v>
      </c>
      <c r="C31" s="10" t="n"/>
      <c r="D31" s="10" t="n"/>
      <c r="E31" s="34" t="n"/>
      <c r="F31" s="10" t="n"/>
      <c r="G31" s="10" t="n"/>
    </row>
    <row r="32">
      <c r="B32" s="10" t="n">
        <v>6</v>
      </c>
      <c r="C32" s="10" t="n"/>
      <c r="D32" s="10" t="n"/>
      <c r="E32" s="34" t="n"/>
      <c r="F32" s="10" t="n"/>
      <c r="G32" s="10" t="n"/>
    </row>
    <row r="33">
      <c r="B33" s="10" t="n">
        <v>7</v>
      </c>
      <c r="C33" s="10" t="n"/>
      <c r="D33" s="10" t="n"/>
      <c r="E33" s="34" t="n"/>
      <c r="F33" s="10" t="n"/>
      <c r="G33" s="10" t="n"/>
    </row>
    <row r="34">
      <c r="B34" s="10" t="n">
        <v>8</v>
      </c>
      <c r="C34" s="10" t="n"/>
      <c r="D34" s="10" t="n"/>
      <c r="E34" s="34" t="n"/>
      <c r="F34" s="10" t="n"/>
      <c r="G34" s="10" t="n"/>
    </row>
    <row r="35">
      <c r="B35" s="10" t="n">
        <v>9</v>
      </c>
      <c r="C35" s="10" t="n"/>
      <c r="D35" s="10" t="n"/>
      <c r="E35" s="34" t="n"/>
      <c r="F35" s="10" t="n"/>
      <c r="G35" s="10" t="n"/>
    </row>
    <row r="36">
      <c r="B36" s="10" t="n">
        <v>10</v>
      </c>
      <c r="C36" s="10" t="n"/>
      <c r="D36" s="10" t="n"/>
      <c r="E36" s="34" t="n"/>
      <c r="F36" s="10" t="n"/>
      <c r="G36" s="10" t="n"/>
    </row>
  </sheetData>
  <mergeCells count="26">
    <mergeCell ref="G12:H12"/>
    <mergeCell ref="C15:D15"/>
    <mergeCell ref="G17:H17"/>
    <mergeCell ref="D6:E6"/>
    <mergeCell ref="C16:D16"/>
    <mergeCell ref="D11:E11"/>
    <mergeCell ref="G2:J2"/>
    <mergeCell ref="G18:H18"/>
    <mergeCell ref="C12:D12"/>
    <mergeCell ref="C21:D21"/>
    <mergeCell ref="D7:E7"/>
    <mergeCell ref="G15:H15"/>
    <mergeCell ref="D4:E4"/>
    <mergeCell ref="B2:E2"/>
    <mergeCell ref="B3:B9"/>
    <mergeCell ref="D3:E3"/>
    <mergeCell ref="D9:E9"/>
    <mergeCell ref="C17:D17"/>
    <mergeCell ref="C23:D23"/>
    <mergeCell ref="B14:E14"/>
    <mergeCell ref="B25:G25"/>
    <mergeCell ref="D8:E8"/>
    <mergeCell ref="G16:H16"/>
    <mergeCell ref="C19:D19"/>
    <mergeCell ref="D5:E5"/>
    <mergeCell ref="C18:D1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topLeftCell="A7" zoomScale="80" zoomScaleNormal="100" workbookViewId="0">
      <selection activeCell="E18" sqref="E18"/>
    </sheetView>
  </sheetViews>
  <sheetFormatPr baseColWidth="8" defaultRowHeight="14.1"/>
  <cols>
    <col width="2.375" customWidth="1" min="1" max="1"/>
    <col width="3.375" bestFit="1" customWidth="1" min="2" max="2"/>
    <col width="42.375" customWidth="1" min="3" max="3"/>
    <col width="17.375" customWidth="1" min="4" max="4"/>
    <col width="18.375" customWidth="1" min="5" max="5"/>
    <col width="14.375" customWidth="1" min="6" max="6"/>
    <col width="18.375" customWidth="1" min="7" max="7"/>
    <col width="17.375" customWidth="1" min="8" max="8"/>
    <col width="19.375" customWidth="1" min="9" max="9"/>
    <col width="20.375" customWidth="1" min="10" max="10"/>
    <col width="16.375" bestFit="1" customWidth="1" min="11" max="11"/>
  </cols>
  <sheetData>
    <row r="1" ht="24.95" customHeight="1">
      <c r="A1" s="86" t="inlineStr">
        <is>
          <t>Project Budget</t>
        </is>
      </c>
    </row>
    <row r="2" ht="15.75" customHeight="1">
      <c r="B2" s="277" t="n"/>
      <c r="C2" s="278" t="n"/>
      <c r="D2" s="278" t="n"/>
      <c r="E2" s="279" t="n"/>
      <c r="G2" s="249" t="inlineStr">
        <is>
          <t>Approved Budget Changes</t>
        </is>
      </c>
    </row>
    <row r="3" ht="15.75" customHeight="1">
      <c r="B3" s="280" t="n"/>
      <c r="C3" s="96" t="inlineStr">
        <is>
          <t>Project Name</t>
        </is>
      </c>
      <c r="D3" s="281" t="n"/>
      <c r="E3" s="279" t="n"/>
      <c r="G3" s="96" t="inlineStr">
        <is>
          <t>Reason</t>
        </is>
      </c>
      <c r="H3" s="96" t="inlineStr">
        <is>
          <t>Plan or CR ID</t>
        </is>
      </c>
      <c r="I3" s="96" t="inlineStr">
        <is>
          <t>Changes Cost</t>
        </is>
      </c>
      <c r="J3" s="96" t="inlineStr">
        <is>
          <t>Changes Revenue</t>
        </is>
      </c>
    </row>
    <row r="4" ht="14.45" customHeight="1">
      <c r="B4" s="282" t="n"/>
      <c r="C4" s="96" t="inlineStr">
        <is>
          <t>Client</t>
        </is>
      </c>
      <c r="D4" s="283" t="n"/>
      <c r="E4" s="279" t="n"/>
      <c r="G4" s="10" t="n"/>
      <c r="H4" s="10" t="n"/>
      <c r="I4" s="200" t="n"/>
      <c r="J4" s="200" t="n"/>
    </row>
    <row r="5" ht="14.45" customHeight="1">
      <c r="B5" s="282" t="n"/>
      <c r="C5" s="96" t="inlineStr">
        <is>
          <t>Contract start date</t>
        </is>
      </c>
      <c r="D5" s="283" t="n"/>
      <c r="E5" s="279" t="n"/>
      <c r="G5" s="10" t="n"/>
      <c r="H5" s="10" t="n"/>
      <c r="I5" s="200" t="n"/>
      <c r="J5" s="201" t="n"/>
    </row>
    <row r="6" ht="15.6" customHeight="1">
      <c r="B6" s="282" t="n"/>
      <c r="C6" s="96" t="inlineStr">
        <is>
          <t>Contract end date</t>
        </is>
      </c>
      <c r="D6" s="283" t="n"/>
      <c r="E6" s="279" t="n"/>
      <c r="G6" s="10" t="n"/>
      <c r="H6" s="10" t="n"/>
      <c r="I6" s="50" t="n"/>
      <c r="J6" s="50" t="n"/>
    </row>
    <row r="7" ht="15.6" customHeight="1">
      <c r="B7" s="282" t="n"/>
      <c r="C7" s="96" t="inlineStr">
        <is>
          <t>Contract duration</t>
        </is>
      </c>
      <c r="D7" s="283" t="n"/>
      <c r="E7" s="279" t="n"/>
      <c r="G7" s="10" t="n"/>
      <c r="H7" s="10" t="n"/>
      <c r="I7" s="50" t="n"/>
      <c r="J7" s="50" t="n"/>
    </row>
    <row r="8" ht="15.6" customHeight="1">
      <c r="B8" s="282" t="n"/>
      <c r="C8" s="96" t="inlineStr">
        <is>
          <t>Contract Type</t>
        </is>
      </c>
      <c r="D8" s="283" t="inlineStr">
        <is>
          <t>FS</t>
        </is>
      </c>
      <c r="E8" s="279" t="n"/>
      <c r="G8" s="10" t="n"/>
      <c r="H8" s="10" t="n"/>
      <c r="I8" s="50" t="n"/>
      <c r="J8" s="50" t="n"/>
    </row>
    <row r="9" ht="15.6" customHeight="1">
      <c r="B9" s="284" t="n"/>
      <c r="C9" s="96" t="inlineStr">
        <is>
          <t>Scope</t>
        </is>
      </c>
      <c r="D9" s="283" t="n"/>
      <c r="E9" s="279" t="n"/>
      <c r="G9" s="10" t="n"/>
      <c r="H9" s="10" t="n"/>
      <c r="I9" s="50" t="n"/>
      <c r="J9" s="50" t="n"/>
    </row>
    <row r="10" ht="15.6" customHeight="1">
      <c r="B10" s="260" t="n"/>
      <c r="C10" s="96" t="inlineStr">
        <is>
          <t>Support start and end dates</t>
        </is>
      </c>
      <c r="D10" s="32" t="n">
        <v>46525</v>
      </c>
      <c r="E10" s="32" t="n">
        <v>46890</v>
      </c>
      <c r="G10" s="10" t="n"/>
      <c r="H10" s="10" t="n"/>
      <c r="I10" s="50" t="n"/>
      <c r="J10" s="50" t="n"/>
    </row>
    <row r="11" ht="15.6" customHeight="1">
      <c r="B11" s="260" t="n"/>
      <c r="C11" s="96" t="inlineStr">
        <is>
          <t>Progress</t>
        </is>
      </c>
      <c r="D11" s="285">
        <f>'Profitability - Consultation'!Q1</f>
        <v/>
      </c>
      <c r="E11" s="279" t="n"/>
      <c r="G11" s="10" t="n"/>
      <c r="H11" s="10" t="n"/>
      <c r="I11" s="50" t="n"/>
      <c r="J11" s="50" t="n"/>
    </row>
    <row r="12" ht="21.75" customHeight="1">
      <c r="B12" s="12" t="inlineStr">
        <is>
          <t>(1)</t>
        </is>
      </c>
      <c r="C12" s="286" t="inlineStr">
        <is>
          <t>Total Mandays</t>
        </is>
      </c>
      <c r="D12" s="287" t="n"/>
      <c r="E12" s="60" t="n">
        <v>528</v>
      </c>
      <c r="G12" s="246" t="inlineStr">
        <is>
          <t>Total Changes on Budget</t>
        </is>
      </c>
      <c r="H12" s="288" t="n"/>
      <c r="I12" s="14" t="n">
        <v>0</v>
      </c>
      <c r="J12" s="14" t="n">
        <v>0</v>
      </c>
    </row>
    <row r="13" ht="21.75" customHeight="1">
      <c r="B13" s="97" t="n"/>
      <c r="C13" s="98" t="n"/>
      <c r="D13" s="98" t="n"/>
      <c r="E13" s="102" t="n"/>
      <c r="G13" s="99" t="n"/>
      <c r="H13" s="99" t="n"/>
      <c r="I13" s="100" t="n"/>
      <c r="J13" s="101" t="n"/>
    </row>
    <row r="14" ht="15.75" customHeight="1">
      <c r="B14" s="277" t="inlineStr">
        <is>
          <t>Approved Project Budget</t>
        </is>
      </c>
      <c r="C14" s="278" t="n"/>
      <c r="D14" s="278" t="n"/>
      <c r="E14" s="279" t="n"/>
      <c r="F14" s="103" t="n"/>
      <c r="G14" s="107" t="inlineStr">
        <is>
          <t>Final Budget (SAR)</t>
        </is>
      </c>
      <c r="H14" s="108" t="n"/>
      <c r="I14" s="109" t="n"/>
    </row>
    <row r="15" ht="21.75" customHeight="1">
      <c r="B15" s="12" t="inlineStr">
        <is>
          <t>(2)</t>
        </is>
      </c>
      <c r="C15" s="286" t="inlineStr">
        <is>
          <t>Total Estimated Cost ($)</t>
        </is>
      </c>
      <c r="D15" s="287" t="n"/>
      <c r="E15" s="289">
        <f>Table_67122[[#Totals],[Total cost USD]]</f>
        <v/>
      </c>
      <c r="F15" s="103" t="n"/>
      <c r="G15" s="246" t="inlineStr">
        <is>
          <t>Total Cost after changes</t>
        </is>
      </c>
      <c r="H15" s="288" t="n"/>
      <c r="I15" s="106">
        <f>E16+I12</f>
        <v/>
      </c>
      <c r="J15" s="37" t="n"/>
    </row>
    <row r="16" ht="21.75" customHeight="1">
      <c r="B16" s="12" t="inlineStr">
        <is>
          <t>(3)</t>
        </is>
      </c>
      <c r="C16" s="290" t="inlineStr">
        <is>
          <t>Total Estimated Cost (SAR)</t>
        </is>
      </c>
      <c r="D16" s="291" t="n"/>
      <c r="E16" s="50">
        <f>'Estimated Cost - Support'!D15</f>
        <v/>
      </c>
      <c r="F16" s="104" t="n"/>
      <c r="G16" s="248" t="inlineStr">
        <is>
          <t>Total Revenue after changes</t>
        </is>
      </c>
      <c r="H16" s="292" t="n"/>
      <c r="I16" s="105">
        <f>E17+J12</f>
        <v/>
      </c>
    </row>
    <row r="17" ht="21.75" customHeight="1">
      <c r="B17" s="12" t="inlineStr">
        <is>
          <t>(4)</t>
        </is>
      </c>
      <c r="C17" s="290" t="inlineStr">
        <is>
          <t>Total Revenue</t>
        </is>
      </c>
      <c r="D17" s="291" t="n"/>
      <c r="E17" s="74" t="n">
        <v>2079000</v>
      </c>
      <c r="F17" s="104" t="n"/>
      <c r="G17" s="248" t="inlineStr">
        <is>
          <t>Budget Profit (SAR)</t>
        </is>
      </c>
      <c r="H17" s="292" t="n"/>
      <c r="I17" s="51">
        <f>I16-I15</f>
        <v/>
      </c>
    </row>
    <row r="18" ht="21.75" customHeight="1">
      <c r="B18" s="12" t="inlineStr">
        <is>
          <t>(5)</t>
        </is>
      </c>
      <c r="C18" s="290" t="inlineStr">
        <is>
          <t>Budget Profit (SAR)</t>
        </is>
      </c>
      <c r="D18" s="291" t="n"/>
      <c r="E18" s="51">
        <f>E17-E16</f>
        <v/>
      </c>
      <c r="F18" s="103" t="n"/>
      <c r="G18" s="270" t="inlineStr">
        <is>
          <t>Budget Profit (%)</t>
        </is>
      </c>
      <c r="H18" s="293" t="n"/>
      <c r="I18" s="52">
        <f>I17/I16</f>
        <v/>
      </c>
      <c r="J18" s="37" t="n"/>
      <c r="K18" s="69" t="n"/>
    </row>
    <row r="19" ht="21.75" customHeight="1">
      <c r="B19" s="12" t="inlineStr">
        <is>
          <t>(6)</t>
        </is>
      </c>
      <c r="C19" s="294" t="inlineStr">
        <is>
          <t>Budget Profit (%)</t>
        </is>
      </c>
      <c r="D19" s="295" t="n"/>
      <c r="E19" s="52">
        <f>E18/E17</f>
        <v/>
      </c>
    </row>
    <row r="21" ht="15.6" customHeight="1">
      <c r="C21" s="294" t="inlineStr">
        <is>
          <t>Estimated MD cost (SAR)</t>
        </is>
      </c>
      <c r="D21" s="295" t="n"/>
      <c r="E21" s="51">
        <f>E16/E12</f>
        <v/>
      </c>
      <c r="F21" s="37" t="n"/>
      <c r="G21" s="59" t="n"/>
      <c r="J21" s="66" t="n"/>
    </row>
    <row r="22">
      <c r="C22" s="36" t="n"/>
      <c r="D22" s="36" t="n"/>
      <c r="E22" s="36" t="n"/>
      <c r="F22" s="58" t="n"/>
    </row>
    <row r="23" ht="15.75" customHeight="1">
      <c r="C23" s="294" t="inlineStr">
        <is>
          <t>Estimated MD Price (SAR)</t>
        </is>
      </c>
      <c r="D23" s="295" t="n"/>
      <c r="E23" s="51">
        <f>E17/E12</f>
        <v/>
      </c>
    </row>
    <row r="24">
      <c r="C24" s="36" t="n"/>
      <c r="D24" s="36" t="n"/>
    </row>
    <row r="25" ht="15.75" customHeight="1">
      <c r="B25" s="250" t="inlineStr">
        <is>
          <t>Invoices Schedule</t>
        </is>
      </c>
    </row>
    <row r="26">
      <c r="B26" s="15" t="inlineStr">
        <is>
          <t>#</t>
        </is>
      </c>
      <c r="C26" s="13" t="inlineStr">
        <is>
          <t>Invoiced Item</t>
        </is>
      </c>
      <c r="D26" s="15" t="inlineStr">
        <is>
          <t>Planned Date</t>
        </is>
      </c>
      <c r="E26" s="15" t="inlineStr">
        <is>
          <t>Invoice Value</t>
        </is>
      </c>
      <c r="F26" s="35" t="inlineStr">
        <is>
          <t>Business Line</t>
        </is>
      </c>
      <c r="G26" s="35" t="inlineStr">
        <is>
          <t>Status</t>
        </is>
      </c>
    </row>
    <row r="27" ht="21" customHeight="1">
      <c r="B27" s="10" t="n">
        <v>1</v>
      </c>
      <c r="C27" s="10" t="n"/>
      <c r="D27" s="32" t="n"/>
      <c r="E27" s="33" t="n"/>
      <c r="F27" s="111" t="inlineStr">
        <is>
          <t>License</t>
        </is>
      </c>
      <c r="G27" s="32" t="n"/>
    </row>
    <row r="28" ht="21" customHeight="1">
      <c r="B28" s="10" t="n">
        <v>2</v>
      </c>
      <c r="C28" s="10" t="n"/>
      <c r="D28" s="10" t="n"/>
      <c r="E28" s="34" t="n"/>
      <c r="F28" s="10" t="inlineStr">
        <is>
          <t>Service</t>
        </is>
      </c>
      <c r="G28" s="10" t="n"/>
      <c r="K28" s="296" t="n"/>
    </row>
    <row r="29" ht="21" customHeight="1">
      <c r="B29" s="10" t="n">
        <v>3</v>
      </c>
      <c r="C29" s="10" t="n"/>
      <c r="D29" s="10" t="n"/>
      <c r="E29" s="34" t="n"/>
      <c r="F29" s="10" t="inlineStr">
        <is>
          <t>3rd Party</t>
        </is>
      </c>
      <c r="G29" s="10" t="n"/>
    </row>
    <row r="30" ht="21" customHeight="1">
      <c r="B30" s="10" t="n">
        <v>4</v>
      </c>
      <c r="C30" s="10" t="n"/>
      <c r="D30" s="10" t="n"/>
      <c r="E30" s="34" t="n"/>
      <c r="F30" s="10" t="n"/>
      <c r="G30" s="10" t="n"/>
      <c r="I30" s="58" t="n"/>
    </row>
    <row r="31">
      <c r="B31" s="10" t="n">
        <v>5</v>
      </c>
      <c r="C31" s="10" t="n"/>
      <c r="D31" s="10" t="n"/>
      <c r="E31" s="34" t="n"/>
      <c r="F31" s="10" t="n"/>
      <c r="G31" s="10" t="n"/>
    </row>
    <row r="32">
      <c r="B32" s="10" t="n">
        <v>6</v>
      </c>
      <c r="C32" s="10" t="n"/>
      <c r="D32" s="10" t="n"/>
      <c r="E32" s="34" t="n"/>
      <c r="F32" s="10" t="n"/>
      <c r="G32" s="10" t="n"/>
    </row>
    <row r="33">
      <c r="B33" s="10" t="n">
        <v>7</v>
      </c>
      <c r="C33" s="10" t="n"/>
      <c r="D33" s="10" t="n"/>
      <c r="E33" s="34" t="n"/>
      <c r="F33" s="10" t="n"/>
      <c r="G33" s="10" t="n"/>
    </row>
    <row r="34">
      <c r="B34" s="10" t="n">
        <v>8</v>
      </c>
      <c r="C34" s="10" t="n"/>
      <c r="D34" s="10" t="n"/>
      <c r="E34" s="34" t="n"/>
      <c r="F34" s="10" t="n"/>
      <c r="G34" s="10" t="n"/>
    </row>
    <row r="35">
      <c r="B35" s="10" t="n">
        <v>9</v>
      </c>
      <c r="C35" s="10" t="n"/>
      <c r="D35" s="10" t="n"/>
      <c r="E35" s="34" t="n"/>
      <c r="F35" s="10" t="n"/>
      <c r="G35" s="10" t="n"/>
    </row>
    <row r="36">
      <c r="B36" s="10" t="n">
        <v>10</v>
      </c>
      <c r="C36" s="10" t="n"/>
      <c r="D36" s="10" t="n"/>
      <c r="E36" s="34" t="n"/>
      <c r="F36" s="10" t="n"/>
      <c r="G36" s="10" t="n"/>
    </row>
  </sheetData>
  <mergeCells count="26">
    <mergeCell ref="G12:H12"/>
    <mergeCell ref="C15:D15"/>
    <mergeCell ref="G17:H17"/>
    <mergeCell ref="D6:E6"/>
    <mergeCell ref="C16:D16"/>
    <mergeCell ref="D11:E11"/>
    <mergeCell ref="G2:J2"/>
    <mergeCell ref="G18:H18"/>
    <mergeCell ref="C12:D12"/>
    <mergeCell ref="D7:E7"/>
    <mergeCell ref="C21:D21"/>
    <mergeCell ref="G15:H15"/>
    <mergeCell ref="D4:E4"/>
    <mergeCell ref="B2:E2"/>
    <mergeCell ref="B3:B9"/>
    <mergeCell ref="C17:D17"/>
    <mergeCell ref="D3:E3"/>
    <mergeCell ref="D9:E9"/>
    <mergeCell ref="C23:D23"/>
    <mergeCell ref="B14:E14"/>
    <mergeCell ref="B25:G25"/>
    <mergeCell ref="D8:E8"/>
    <mergeCell ref="G16:H16"/>
    <mergeCell ref="D5:E5"/>
    <mergeCell ref="C19:D19"/>
    <mergeCell ref="C18:D1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0113FF"/>
    <outlinePr summaryBelow="1" summaryRight="1"/>
    <pageSetUpPr/>
  </sheetPr>
  <dimension ref="A1:AE44"/>
  <sheetViews>
    <sheetView showGridLines="0" topLeftCell="A3" zoomScale="53" zoomScaleNormal="80" workbookViewId="0">
      <selection activeCell="I14" sqref="I14"/>
    </sheetView>
  </sheetViews>
  <sheetFormatPr baseColWidth="8" defaultRowHeight="14.1"/>
  <cols>
    <col width="19.375" customWidth="1" min="1" max="1"/>
    <col hidden="1" width="12.375" customWidth="1" min="2" max="2"/>
    <col width="13.125" bestFit="1" customWidth="1" min="3" max="4"/>
    <col width="12.375" customWidth="1" min="5" max="5"/>
    <col width="20.375" customWidth="1" min="6" max="6"/>
    <col width="15.25" bestFit="1" customWidth="1" min="7" max="7"/>
    <col width="11.375" customWidth="1" min="8" max="8"/>
    <col width="17" customWidth="1" min="9" max="9"/>
    <col width="19.75" customWidth="1" min="10" max="10"/>
    <col width="10.375" customWidth="1" min="11" max="11"/>
    <col width="12.375" customWidth="1" min="12" max="13"/>
    <col width="15.375" bestFit="1" customWidth="1" min="14" max="14"/>
    <col width="15.375" customWidth="1" min="15" max="16"/>
    <col width="30.625" customWidth="1" min="17" max="17"/>
    <col width="13.375" bestFit="1" customWidth="1" min="18" max="18"/>
    <col width="0.375" customWidth="1" min="19" max="19"/>
    <col width="16.625" bestFit="1" customWidth="1" min="20" max="20"/>
    <col width="17.375" customWidth="1" min="21" max="21"/>
    <col width="16.375" customWidth="1" min="22" max="24"/>
    <col width="10.75" customWidth="1" min="25" max="25"/>
    <col width="23.875" customWidth="1" min="26" max="26"/>
    <col width="12.375" bestFit="1" customWidth="1" min="27" max="27"/>
    <col width="13.375" customWidth="1" min="28" max="28"/>
    <col width="15.375" customWidth="1" min="29" max="31"/>
    <col width="13.375" customWidth="1" min="34" max="34"/>
    <col width="9.375" bestFit="1" customWidth="1" min="36" max="36"/>
  </cols>
  <sheetData>
    <row r="1" ht="31.5" customHeight="1">
      <c r="A1" s="133" t="inlineStr">
        <is>
          <t>Project Name</t>
        </is>
      </c>
      <c r="B1" s="135" t="n"/>
      <c r="C1" s="229" t="n"/>
      <c r="F1" s="136" t="inlineStr">
        <is>
          <t>PM Name</t>
        </is>
      </c>
      <c r="G1" s="229" t="n"/>
      <c r="I1" s="229" t="n"/>
      <c r="L1" s="1" t="n"/>
      <c r="M1" s="1" t="n"/>
      <c r="Y1" s="92" t="n"/>
    </row>
    <row r="2" ht="31.5" customHeight="1">
      <c r="A2" s="138" t="inlineStr">
        <is>
          <t>Contract Start Date</t>
        </is>
      </c>
      <c r="B2" s="139" t="n"/>
      <c r="C2" s="230" t="n"/>
      <c r="F2" s="138" t="inlineStr">
        <is>
          <t>Contract End Date</t>
        </is>
      </c>
      <c r="G2" s="230" t="n"/>
      <c r="I2" s="297" t="n"/>
      <c r="J2" s="136" t="inlineStr">
        <is>
          <t>Current Scope</t>
        </is>
      </c>
      <c r="K2" s="231" t="n"/>
      <c r="Y2" s="92" t="n"/>
    </row>
    <row r="3" ht="31.5" customHeight="1">
      <c r="A3" s="137" t="inlineStr">
        <is>
          <t>Support Start Date</t>
        </is>
      </c>
      <c r="B3" s="135" t="n"/>
      <c r="C3" s="232" t="n"/>
      <c r="F3" s="137" t="inlineStr">
        <is>
          <t>Support End Date</t>
        </is>
      </c>
      <c r="G3" s="229" t="n"/>
      <c r="I3" s="229" t="n"/>
      <c r="Y3" s="92" t="n"/>
    </row>
    <row r="4" ht="31.5" customHeight="1">
      <c r="A4" s="138" t="inlineStr">
        <is>
          <t>Licenses and 3rd party Revenue</t>
        </is>
      </c>
      <c r="B4" s="139" t="n"/>
      <c r="C4" s="297" t="n"/>
      <c r="F4" s="138" t="inlineStr">
        <is>
          <t>Licenses and 3rd party Cost</t>
        </is>
      </c>
      <c r="G4" s="297" t="n"/>
      <c r="I4" s="297" t="n"/>
      <c r="K4" s="1" t="n"/>
      <c r="L4" s="1" t="n"/>
      <c r="M4" s="1" t="n"/>
      <c r="Y4" s="92" t="n"/>
    </row>
    <row r="5" ht="20.1" customHeight="1">
      <c r="A5" s="149" t="n"/>
      <c r="B5" s="143" t="n"/>
      <c r="C5" s="298" t="inlineStr">
        <is>
          <t>Presales Budget</t>
        </is>
      </c>
      <c r="D5" s="299" t="n"/>
      <c r="E5" s="300" t="n"/>
      <c r="F5" s="301" t="inlineStr">
        <is>
          <t>Current Month calculations</t>
        </is>
      </c>
      <c r="G5" s="299" t="n"/>
      <c r="H5" s="299" t="n"/>
      <c r="I5" s="299" t="n"/>
      <c r="J5" s="299" t="n"/>
      <c r="K5" s="299" t="n"/>
      <c r="L5" s="299" t="n"/>
      <c r="M5" s="299" t="n"/>
      <c r="N5" s="299" t="n"/>
      <c r="O5" s="302" t="n"/>
      <c r="P5" s="242" t="inlineStr">
        <is>
          <t xml:space="preserve">Cost Variance </t>
        </is>
      </c>
      <c r="Q5" s="299" t="n"/>
      <c r="R5" s="299" t="n"/>
      <c r="S5" s="234" t="n"/>
      <c r="T5" s="244" t="inlineStr">
        <is>
          <t>Profitability</t>
        </is>
      </c>
      <c r="U5" s="303" t="n"/>
      <c r="V5" s="303" t="n"/>
      <c r="W5" s="233" t="inlineStr">
        <is>
          <t>Profit Variance</t>
        </is>
      </c>
      <c r="X5" s="303" t="n"/>
      <c r="Y5" s="235" t="inlineStr">
        <is>
          <t>Progress and Virtual Invoices for fixed cost</t>
        </is>
      </c>
      <c r="Z5" s="299" t="n"/>
      <c r="AA5" s="299" t="n"/>
      <c r="AB5" s="299" t="n"/>
      <c r="AC5" s="299" t="n"/>
      <c r="AD5" s="299" t="n"/>
      <c r="AE5" s="208" t="n"/>
    </row>
    <row r="6" ht="43.5" customFormat="1" customHeight="1" s="11">
      <c r="A6" s="150" t="inlineStr">
        <is>
          <t>Month</t>
        </is>
      </c>
      <c r="B6" s="85" t="inlineStr">
        <is>
          <t>Consumed Revenue</t>
        </is>
      </c>
      <c r="C6" s="85" t="inlineStr">
        <is>
          <t>Total Revenue (SAR)</t>
        </is>
      </c>
      <c r="D6" s="85" t="inlineStr">
        <is>
          <t>Total Estimated Cost (SAR)</t>
        </is>
      </c>
      <c r="E6" s="145" t="inlineStr">
        <is>
          <t>Estimated Effort MDs</t>
        </is>
      </c>
      <c r="F6" s="85" t="inlineStr">
        <is>
          <t>This month MDs</t>
        </is>
      </c>
      <c r="G6" s="85" t="inlineStr">
        <is>
          <t>Actual Effort to Date (MD)</t>
        </is>
      </c>
      <c r="H6" s="85" t="inlineStr">
        <is>
          <t>% Completion from plan</t>
        </is>
      </c>
      <c r="I6" s="85" t="inlineStr">
        <is>
          <t>Current Cost (SAR)</t>
        </is>
      </c>
      <c r="J6" s="85" t="inlineStr">
        <is>
          <t>Estimated Remaining (MD)</t>
        </is>
      </c>
      <c r="K6" s="85" t="inlineStr">
        <is>
          <t>EAC MDs</t>
        </is>
      </c>
      <c r="L6" s="85" t="inlineStr">
        <is>
          <t>Expected overrun (SAR)</t>
        </is>
      </c>
      <c r="M6" s="85" t="inlineStr">
        <is>
          <t>Revenue to date</t>
        </is>
      </c>
      <c r="N6" s="85" t="inlineStr">
        <is>
          <t>Estimated Cost to Complete</t>
        </is>
      </c>
      <c r="O6" s="145" t="inlineStr">
        <is>
          <t>Estimate at Completion</t>
        </is>
      </c>
      <c r="P6" s="85" t="inlineStr">
        <is>
          <t>CPI</t>
        </is>
      </c>
      <c r="Q6" s="85" t="inlineStr">
        <is>
          <t>Variance</t>
        </is>
      </c>
      <c r="R6" s="85" t="inlineStr">
        <is>
          <t>Variance (%)</t>
        </is>
      </c>
      <c r="S6" s="112" t="n"/>
      <c r="T6" s="85" t="inlineStr">
        <is>
          <t>Profit at Completion</t>
        </is>
      </c>
      <c r="U6" s="85" t="inlineStr">
        <is>
          <t>Planned Profit</t>
        </is>
      </c>
      <c r="V6" s="145" t="inlineStr">
        <is>
          <t>Profit at Completion (%)</t>
        </is>
      </c>
      <c r="W6" s="85" t="inlineStr">
        <is>
          <t>Profitability Variance</t>
        </is>
      </c>
      <c r="X6" s="145" t="inlineStr">
        <is>
          <t>Profitability Variance (%)</t>
        </is>
      </c>
      <c r="Y6" s="85" t="inlineStr">
        <is>
          <t>Total Issued Invoices (SAR)</t>
        </is>
      </c>
      <c r="Z6" s="85" t="inlineStr">
        <is>
          <t>Progress %</t>
        </is>
      </c>
      <c r="AA6" s="85" t="inlineStr">
        <is>
          <t>Total Recognized Revenue</t>
        </is>
      </c>
      <c r="AB6" s="85" t="inlineStr">
        <is>
          <t xml:space="preserve">Production
</t>
        </is>
      </c>
      <c r="AC6" s="85" t="inlineStr">
        <is>
          <t>Accumulative virtual invoice</t>
        </is>
      </c>
      <c r="AD6" s="85" t="inlineStr">
        <is>
          <t>This month Virtual Invoice</t>
        </is>
      </c>
      <c r="AE6" s="85" t="inlineStr">
        <is>
          <t>VI+Issued</t>
        </is>
      </c>
    </row>
    <row r="7" ht="15.6" customFormat="1" customHeight="1" s="184">
      <c r="A7" s="185" t="n"/>
      <c r="B7" s="186" t="n"/>
      <c r="C7" s="187" t="n"/>
      <c r="D7" s="187" t="n"/>
      <c r="E7" s="188" t="n"/>
      <c r="F7" s="186" t="n"/>
      <c r="G7" s="187" t="n"/>
      <c r="H7" s="187" t="n"/>
      <c r="I7" s="187" t="inlineStr">
        <is>
          <t>(7)</t>
        </is>
      </c>
      <c r="J7" s="187" t="inlineStr">
        <is>
          <t>(8)</t>
        </is>
      </c>
      <c r="K7" s="187" t="n"/>
      <c r="L7" s="187" t="n"/>
      <c r="M7" s="187" t="n"/>
      <c r="N7" s="187" t="inlineStr">
        <is>
          <t>(9)</t>
        </is>
      </c>
      <c r="O7" s="188" t="inlineStr">
        <is>
          <t>(10)</t>
        </is>
      </c>
      <c r="P7" s="189" t="n"/>
      <c r="Q7" s="186" t="inlineStr">
        <is>
          <t>(11)</t>
        </is>
      </c>
      <c r="R7" s="187" t="inlineStr">
        <is>
          <t>(12)</t>
        </is>
      </c>
      <c r="S7" s="187" t="n"/>
      <c r="T7" s="187" t="inlineStr">
        <is>
          <t>(13)</t>
        </is>
      </c>
      <c r="U7" s="189" t="n"/>
      <c r="V7" s="190" t="inlineStr">
        <is>
          <t>(14)</t>
        </is>
      </c>
      <c r="W7" s="186" t="inlineStr">
        <is>
          <t>(15)</t>
        </is>
      </c>
      <c r="X7" s="191" t="inlineStr">
        <is>
          <t>(16)</t>
        </is>
      </c>
      <c r="Y7" s="192" t="inlineStr">
        <is>
          <t>(17)</t>
        </is>
      </c>
      <c r="Z7" s="189" t="inlineStr">
        <is>
          <t>(18)</t>
        </is>
      </c>
      <c r="AA7" s="189" t="inlineStr">
        <is>
          <t>(19)</t>
        </is>
      </c>
      <c r="AB7" s="189" t="n"/>
      <c r="AC7" s="189" t="n"/>
      <c r="AD7" s="3" t="n"/>
      <c r="AE7" s="3" t="n"/>
    </row>
    <row r="8" ht="15.6" customHeight="1">
      <c r="A8" s="151" t="n">
        <v>46102</v>
      </c>
      <c r="B8" s="144" t="n"/>
      <c r="C8" s="87" t="n">
        <v>16190344</v>
      </c>
      <c r="D8" s="87" t="n">
        <v>10257885</v>
      </c>
      <c r="E8" s="146" t="n">
        <v>6556</v>
      </c>
      <c r="F8" s="148">
        <f>'Current Effort - Development'!I19</f>
        <v/>
      </c>
      <c r="G8" s="87">
        <f>F8</f>
        <v/>
      </c>
      <c r="H8" s="221" t="n">
        <v>0.01</v>
      </c>
      <c r="I8" s="222" t="n">
        <v>32032</v>
      </c>
      <c r="J8" s="223" t="n">
        <v>6556</v>
      </c>
      <c r="K8" s="222" t="n">
        <v>6529.083333333333</v>
      </c>
      <c r="L8" s="221" t="n">
        <v>-0.5894346146023999</v>
      </c>
      <c r="M8" s="304" t="n">
        <v>161903.44</v>
      </c>
      <c r="N8" s="88" t="n">
        <v>6746253.394736843</v>
      </c>
      <c r="O8" s="159">
        <f>N8+I8</f>
        <v/>
      </c>
      <c r="P8" s="182">
        <f>D8/O8</f>
        <v/>
      </c>
      <c r="Q8" s="305">
        <f>D8-O8</f>
        <v/>
      </c>
      <c r="R8" s="90">
        <f>Q8/C8</f>
        <v/>
      </c>
      <c r="S8" s="226" t="n"/>
      <c r="T8" s="306">
        <f>C8-O8</f>
        <v/>
      </c>
      <c r="U8" s="228" t="n">
        <v>0.3664195770021934</v>
      </c>
      <c r="V8" s="225">
        <f>T8/C8</f>
        <v/>
      </c>
      <c r="W8" s="305">
        <f>T8-'Budget - Consultation'!$I$17</f>
        <v/>
      </c>
      <c r="X8" s="161">
        <f>V8-'Budget - Consultation'!$I$18</f>
        <v/>
      </c>
      <c r="Y8" s="204" t="n"/>
      <c r="Z8" s="93" t="n">
        <v>0.004088866383948351</v>
      </c>
      <c r="AA8" s="307" t="n">
        <v>161903.44</v>
      </c>
      <c r="AB8" s="307" t="n">
        <v>161903.44</v>
      </c>
      <c r="AC8" s="307" t="n">
        <v>161903.44</v>
      </c>
      <c r="AD8" s="307" t="n">
        <v>161903.44</v>
      </c>
      <c r="AE8" s="307" t="n">
        <v>161903.44</v>
      </c>
    </row>
    <row r="9" ht="15.6" customHeight="1">
      <c r="A9" s="151" t="n">
        <v>46133</v>
      </c>
      <c r="B9" s="144" t="n"/>
      <c r="C9" s="87">
        <f>'Budget - Development'!I16</f>
        <v/>
      </c>
      <c r="D9" s="87">
        <f>'Budget - Development'!I15</f>
        <v/>
      </c>
      <c r="E9" s="146">
        <f>'Budget - Development'!E12</f>
        <v/>
      </c>
      <c r="F9" s="148">
        <f>'Current Effort - Development'!L19</f>
        <v/>
      </c>
      <c r="G9" s="87">
        <f>'Current Effort - Development'!AO19</f>
        <v/>
      </c>
      <c r="H9" s="221" t="n">
        <v>0.03</v>
      </c>
      <c r="I9" s="222">
        <f>'Current Effort - Development'!N22</f>
        <v/>
      </c>
      <c r="J9" s="223" t="n"/>
      <c r="K9" s="222">
        <f>E9-G9</f>
        <v/>
      </c>
      <c r="L9" s="221">
        <f>(G9/E9)/H9-100%</f>
        <v/>
      </c>
      <c r="M9" s="304">
        <f>H9*C9</f>
        <v/>
      </c>
      <c r="N9" s="88">
        <f>J9*'Current Effort - Development'!N$23</f>
        <v/>
      </c>
      <c r="O9" s="159">
        <f>N9+I9</f>
        <v/>
      </c>
      <c r="P9" s="182">
        <f>D9/O9</f>
        <v/>
      </c>
      <c r="Q9" s="305">
        <f>D9-O9</f>
        <v/>
      </c>
      <c r="R9" s="90">
        <f>Q9/C9</f>
        <v/>
      </c>
      <c r="S9" s="114" t="n"/>
      <c r="T9" s="306">
        <f>C9-O9</f>
        <v/>
      </c>
      <c r="U9" s="228">
        <f>'Budget - Development'!I18</f>
        <v/>
      </c>
      <c r="V9" s="225">
        <f>T9/C9</f>
        <v/>
      </c>
      <c r="W9" s="305">
        <f>T9-'Budget - Consultation'!$I$17</f>
        <v/>
      </c>
      <c r="X9" s="161">
        <f>V9-'Budget - Consultation'!$I$18</f>
        <v/>
      </c>
      <c r="Y9" s="204" t="n"/>
      <c r="Z9" s="93">
        <f>I9/O9</f>
        <v/>
      </c>
      <c r="AA9" s="307">
        <f>C9*H9</f>
        <v/>
      </c>
      <c r="AB9" s="307">
        <f>AA9</f>
        <v/>
      </c>
      <c r="AC9" s="307">
        <f>AA9-Y9</f>
        <v/>
      </c>
      <c r="AD9" s="307">
        <f>AC9</f>
        <v/>
      </c>
      <c r="AE9" s="307">
        <f>AC9+Y9</f>
        <v/>
      </c>
    </row>
    <row r="10" ht="15.6" customHeight="1">
      <c r="A10" s="151" t="n"/>
      <c r="B10" s="144" t="n"/>
      <c r="C10" s="87" t="n"/>
      <c r="D10" s="87" t="n"/>
      <c r="E10" s="146" t="n"/>
      <c r="F10" s="148" t="n"/>
      <c r="G10" s="87" t="n"/>
      <c r="H10" s="221" t="n"/>
      <c r="I10" s="222" t="n"/>
      <c r="J10" s="223" t="n"/>
      <c r="K10" s="222" t="n"/>
      <c r="L10" s="221" t="n"/>
      <c r="M10" s="304" t="n"/>
      <c r="N10" s="88" t="n"/>
      <c r="O10" s="159" t="n"/>
      <c r="P10" s="182" t="n"/>
      <c r="Q10" s="305" t="n"/>
      <c r="R10" s="90" t="n"/>
      <c r="S10" s="114" t="n"/>
      <c r="T10" s="308" t="n"/>
      <c r="U10" s="228" t="n"/>
      <c r="V10" s="225" t="n"/>
      <c r="W10" s="305" t="n"/>
      <c r="X10" s="161" t="n"/>
      <c r="Y10" s="204" t="n"/>
      <c r="Z10" s="309" t="n"/>
      <c r="AA10" s="307" t="n"/>
      <c r="AB10" s="307" t="n"/>
      <c r="AC10" s="307" t="n"/>
      <c r="AD10" s="307" t="n"/>
      <c r="AE10" s="307" t="n"/>
    </row>
    <row r="11" ht="15.6" customHeight="1">
      <c r="A11" s="151" t="n"/>
      <c r="B11" s="144" t="n"/>
      <c r="C11" s="87" t="n"/>
      <c r="D11" s="87" t="n"/>
      <c r="E11" s="146" t="n"/>
      <c r="F11" s="148" t="n"/>
      <c r="G11" s="87" t="n"/>
      <c r="H11" s="221" t="n"/>
      <c r="I11" s="222" t="n"/>
      <c r="J11" s="223" t="n"/>
      <c r="K11" s="222" t="n"/>
      <c r="L11" s="221" t="n"/>
      <c r="M11" s="304" t="n"/>
      <c r="N11" s="88" t="n"/>
      <c r="O11" s="159" t="n"/>
      <c r="P11" s="182" t="n"/>
      <c r="Q11" s="305" t="n"/>
      <c r="R11" s="90" t="n"/>
      <c r="S11" s="114" t="n"/>
      <c r="T11" s="308" t="n"/>
      <c r="U11" s="228" t="n"/>
      <c r="V11" s="225" t="n"/>
      <c r="W11" s="305" t="n"/>
      <c r="X11" s="161" t="n"/>
      <c r="Y11" s="204" t="n"/>
      <c r="Z11" s="309" t="n"/>
      <c r="AA11" s="307" t="n"/>
      <c r="AB11" s="307" t="n"/>
      <c r="AC11" s="307" t="n"/>
      <c r="AD11" s="307" t="n"/>
      <c r="AE11" s="307" t="n"/>
    </row>
    <row r="12" ht="15.6" customHeight="1">
      <c r="A12" s="151" t="n"/>
      <c r="B12" s="144" t="n"/>
      <c r="C12" s="87" t="n"/>
      <c r="D12" s="87" t="n"/>
      <c r="E12" s="146" t="n"/>
      <c r="F12" s="148" t="n"/>
      <c r="G12" s="87" t="n"/>
      <c r="H12" s="221" t="n"/>
      <c r="I12" s="222" t="n"/>
      <c r="J12" s="223" t="n"/>
      <c r="K12" s="222" t="n"/>
      <c r="L12" s="221" t="n"/>
      <c r="M12" s="304" t="n"/>
      <c r="N12" s="88" t="n"/>
      <c r="O12" s="159" t="n"/>
      <c r="P12" s="182" t="n"/>
      <c r="Q12" s="305" t="n"/>
      <c r="R12" s="90" t="n"/>
      <c r="S12" s="114" t="n"/>
      <c r="T12" s="308" t="n"/>
      <c r="U12" s="228" t="n"/>
      <c r="V12" s="225" t="n"/>
      <c r="W12" s="305" t="n"/>
      <c r="X12" s="161" t="n"/>
      <c r="Y12" s="204" t="n"/>
      <c r="Z12" s="309" t="n"/>
      <c r="AA12" s="307" t="n"/>
      <c r="AB12" s="307" t="n"/>
      <c r="AC12" s="307" t="n"/>
      <c r="AD12" s="307" t="n"/>
      <c r="AE12" s="307" t="n"/>
    </row>
    <row r="13" ht="15.6" customHeight="1">
      <c r="A13" s="151" t="n"/>
      <c r="B13" s="144" t="n"/>
      <c r="C13" s="87" t="n"/>
      <c r="D13" s="87" t="n"/>
      <c r="E13" s="146" t="n"/>
      <c r="F13" s="148" t="n"/>
      <c r="G13" s="87" t="n"/>
      <c r="H13" s="221" t="n"/>
      <c r="I13" s="222" t="n"/>
      <c r="J13" s="223" t="n"/>
      <c r="K13" s="222" t="n"/>
      <c r="L13" s="221" t="n"/>
      <c r="M13" s="304" t="n"/>
      <c r="N13" s="88" t="n"/>
      <c r="O13" s="159" t="n"/>
      <c r="P13" s="182" t="n"/>
      <c r="Q13" s="305" t="n"/>
      <c r="R13" s="90" t="n"/>
      <c r="S13" s="114" t="n"/>
      <c r="T13" s="308" t="n"/>
      <c r="U13" s="228" t="n"/>
      <c r="V13" s="225" t="n"/>
      <c r="W13" s="305" t="n"/>
      <c r="X13" s="161" t="n"/>
      <c r="Y13" s="204" t="n"/>
      <c r="Z13" s="309" t="n"/>
      <c r="AA13" s="307" t="n"/>
      <c r="AB13" s="307" t="n"/>
      <c r="AC13" s="307" t="n"/>
      <c r="AD13" s="307" t="n"/>
      <c r="AE13" s="307" t="n"/>
    </row>
    <row r="14" ht="15.6" customHeight="1">
      <c r="A14" s="151" t="n"/>
      <c r="B14" s="144" t="n"/>
      <c r="C14" s="87" t="n"/>
      <c r="D14" s="87" t="n"/>
      <c r="E14" s="146" t="n"/>
      <c r="F14" s="148" t="n"/>
      <c r="G14" s="87" t="n"/>
      <c r="H14" s="221" t="n"/>
      <c r="I14" s="222" t="n"/>
      <c r="J14" s="223" t="n"/>
      <c r="K14" s="222" t="n"/>
      <c r="L14" s="221" t="n"/>
      <c r="M14" s="304" t="n"/>
      <c r="N14" s="88" t="n"/>
      <c r="O14" s="159" t="n"/>
      <c r="P14" s="182" t="n"/>
      <c r="Q14" s="305" t="n"/>
      <c r="R14" s="90" t="n"/>
      <c r="S14" s="114" t="n"/>
      <c r="T14" s="308" t="n"/>
      <c r="U14" s="228" t="n"/>
      <c r="V14" s="225" t="n"/>
      <c r="W14" s="305" t="n"/>
      <c r="X14" s="161" t="n"/>
      <c r="Y14" s="204" t="n"/>
      <c r="Z14" s="309" t="n"/>
      <c r="AA14" s="307" t="n"/>
      <c r="AB14" s="307" t="n"/>
      <c r="AC14" s="307" t="n"/>
      <c r="AD14" s="307" t="n"/>
      <c r="AE14" s="307" t="n"/>
    </row>
    <row r="15" ht="15.6" customHeight="1">
      <c r="A15" s="151" t="n"/>
      <c r="B15" s="144" t="n"/>
      <c r="C15" s="87" t="n"/>
      <c r="D15" s="87" t="n"/>
      <c r="E15" s="146" t="n"/>
      <c r="F15" s="148" t="n"/>
      <c r="G15" s="87" t="n"/>
      <c r="H15" s="221" t="n"/>
      <c r="I15" s="222" t="n"/>
      <c r="J15" s="223" t="n"/>
      <c r="K15" s="222" t="n"/>
      <c r="L15" s="221" t="n"/>
      <c r="M15" s="304" t="n"/>
      <c r="N15" s="88" t="n"/>
      <c r="O15" s="159" t="n"/>
      <c r="P15" s="182" t="n"/>
      <c r="Q15" s="305" t="n"/>
      <c r="R15" s="90" t="n"/>
      <c r="S15" s="114" t="n"/>
      <c r="T15" s="308" t="n"/>
      <c r="U15" s="228" t="n"/>
      <c r="V15" s="225" t="n"/>
      <c r="W15" s="305" t="n"/>
      <c r="X15" s="161" t="n"/>
      <c r="Y15" s="204" t="n"/>
      <c r="Z15" s="309" t="n"/>
      <c r="AA15" s="307" t="n"/>
      <c r="AB15" s="307" t="n"/>
      <c r="AC15" s="307" t="n"/>
      <c r="AD15" s="307" t="n"/>
      <c r="AE15" s="307" t="n"/>
    </row>
    <row r="16" ht="15.6" customHeight="1">
      <c r="A16" s="151" t="n"/>
      <c r="B16" s="144" t="n"/>
      <c r="C16" s="87" t="n"/>
      <c r="D16" s="87" t="n"/>
      <c r="E16" s="146" t="n"/>
      <c r="F16" s="148" t="n"/>
      <c r="G16" s="87" t="n"/>
      <c r="H16" s="221" t="n"/>
      <c r="I16" s="222" t="n"/>
      <c r="J16" s="223" t="n"/>
      <c r="K16" s="222" t="n"/>
      <c r="L16" s="221" t="n"/>
      <c r="M16" s="304" t="n"/>
      <c r="N16" s="88" t="n"/>
      <c r="O16" s="159" t="n"/>
      <c r="P16" s="182" t="n"/>
      <c r="Q16" s="305" t="n"/>
      <c r="R16" s="90" t="n"/>
      <c r="S16" s="114" t="n"/>
      <c r="T16" s="308" t="n"/>
      <c r="U16" s="228" t="n"/>
      <c r="V16" s="225" t="n"/>
      <c r="W16" s="305" t="n"/>
      <c r="X16" s="161" t="n"/>
      <c r="Y16" s="204" t="n"/>
      <c r="Z16" s="309" t="n"/>
      <c r="AA16" s="307" t="n"/>
      <c r="AB16" s="307" t="n"/>
      <c r="AC16" s="307" t="n"/>
      <c r="AD16" s="307" t="n"/>
      <c r="AE16" s="307" t="n"/>
    </row>
    <row r="17" ht="15.6" customHeight="1">
      <c r="A17" s="151" t="n"/>
      <c r="B17" s="144" t="n"/>
      <c r="C17" s="87" t="n"/>
      <c r="D17" s="87" t="n"/>
      <c r="E17" s="146" t="n"/>
      <c r="F17" s="148" t="n"/>
      <c r="G17" s="87" t="n"/>
      <c r="H17" s="221" t="n"/>
      <c r="I17" s="222" t="n"/>
      <c r="J17" s="223" t="n"/>
      <c r="K17" s="222" t="n"/>
      <c r="L17" s="221" t="n"/>
      <c r="M17" s="304" t="n"/>
      <c r="N17" s="88" t="n"/>
      <c r="O17" s="159" t="n"/>
      <c r="P17" s="182" t="n"/>
      <c r="Q17" s="305" t="n"/>
      <c r="R17" s="90" t="n"/>
      <c r="S17" s="114" t="n"/>
      <c r="T17" s="308" t="n"/>
      <c r="U17" s="228" t="n"/>
      <c r="V17" s="225" t="n"/>
      <c r="W17" s="305" t="n"/>
      <c r="X17" s="161" t="n"/>
      <c r="Y17" s="204" t="n"/>
      <c r="Z17" s="309" t="n"/>
      <c r="AA17" s="307" t="n"/>
      <c r="AB17" s="307" t="n"/>
      <c r="AC17" s="307" t="n"/>
      <c r="AD17" s="307" t="n"/>
      <c r="AE17" s="307" t="n"/>
    </row>
    <row r="18" ht="15.6" customHeight="1">
      <c r="A18" s="151" t="n"/>
      <c r="B18" s="144" t="n"/>
      <c r="C18" s="87" t="n"/>
      <c r="D18" s="87" t="n"/>
      <c r="E18" s="146" t="n"/>
      <c r="F18" s="148" t="n"/>
      <c r="G18" s="87" t="n"/>
      <c r="H18" s="221" t="n"/>
      <c r="I18" s="222" t="n"/>
      <c r="J18" s="223" t="n"/>
      <c r="K18" s="222" t="n"/>
      <c r="L18" s="221" t="n"/>
      <c r="M18" s="304" t="n"/>
      <c r="N18" s="88" t="n"/>
      <c r="O18" s="159" t="n"/>
      <c r="P18" s="182" t="n"/>
      <c r="Q18" s="305" t="n"/>
      <c r="R18" s="90" t="n"/>
      <c r="S18" s="114" t="n"/>
      <c r="T18" s="308" t="n"/>
      <c r="U18" s="228" t="n"/>
      <c r="V18" s="225" t="n"/>
      <c r="W18" s="305" t="n"/>
      <c r="X18" s="161" t="n"/>
      <c r="Y18" s="204" t="n"/>
      <c r="Z18" s="309" t="n"/>
      <c r="AA18" s="307" t="n"/>
      <c r="AB18" s="307" t="n"/>
      <c r="AC18" s="307" t="n"/>
      <c r="AD18" s="307" t="n"/>
      <c r="AE18" s="307" t="n"/>
    </row>
    <row r="19" ht="15.6" customHeight="1">
      <c r="A19" s="151" t="n"/>
      <c r="B19" s="144" t="n"/>
      <c r="C19" s="87" t="n"/>
      <c r="D19" s="87" t="n"/>
      <c r="E19" s="146" t="n"/>
      <c r="F19" s="148" t="n"/>
      <c r="G19" s="87" t="n"/>
      <c r="H19" s="221" t="n"/>
      <c r="I19" s="222" t="n"/>
      <c r="J19" s="223" t="n"/>
      <c r="K19" s="222" t="n"/>
      <c r="L19" s="221" t="n"/>
      <c r="M19" s="304" t="n"/>
      <c r="N19" s="88" t="n"/>
      <c r="O19" s="159" t="n"/>
      <c r="P19" s="182" t="n"/>
      <c r="Q19" s="305" t="n"/>
      <c r="R19" s="90" t="n"/>
      <c r="S19" s="114" t="n"/>
      <c r="T19" s="308" t="n"/>
      <c r="U19" s="228" t="n"/>
      <c r="V19" s="225" t="n"/>
      <c r="W19" s="305" t="n"/>
      <c r="X19" s="161" t="n"/>
      <c r="Y19" s="204" t="n"/>
      <c r="Z19" s="309" t="n"/>
      <c r="AA19" s="307" t="n"/>
      <c r="AB19" s="307" t="n"/>
      <c r="AC19" s="307" t="n"/>
      <c r="AD19" s="307" t="n"/>
      <c r="AE19" s="307" t="n"/>
    </row>
    <row r="20" ht="15.6" customHeight="1">
      <c r="A20" s="151" t="n"/>
      <c r="B20" s="144" t="n"/>
      <c r="C20" s="87" t="n"/>
      <c r="D20" s="87" t="n"/>
      <c r="E20" s="146" t="n"/>
      <c r="F20" s="148" t="n"/>
      <c r="G20" s="87" t="n"/>
      <c r="H20" s="221" t="n"/>
      <c r="I20" s="222" t="n"/>
      <c r="J20" s="223" t="n"/>
      <c r="K20" s="222" t="n"/>
      <c r="L20" s="221" t="n"/>
      <c r="M20" s="304" t="n"/>
      <c r="N20" s="88" t="n"/>
      <c r="O20" s="159" t="n"/>
      <c r="P20" s="182" t="n"/>
      <c r="Q20" s="305" t="n"/>
      <c r="R20" s="90" t="n"/>
      <c r="S20" s="114" t="n"/>
      <c r="T20" s="308" t="n"/>
      <c r="U20" s="228" t="n"/>
      <c r="V20" s="225" t="n"/>
      <c r="W20" s="305" t="n"/>
      <c r="X20" s="161" t="n"/>
      <c r="Y20" s="204" t="n"/>
      <c r="Z20" s="309" t="n"/>
      <c r="AA20" s="307" t="n"/>
      <c r="AB20" s="307" t="n"/>
      <c r="AC20" s="307" t="n"/>
      <c r="AD20" s="307" t="n"/>
      <c r="AE20" s="307" t="n"/>
    </row>
    <row r="21" ht="15.6" customHeight="1">
      <c r="A21" s="151" t="n"/>
      <c r="B21" s="144" t="n"/>
      <c r="C21" s="87" t="n"/>
      <c r="D21" s="87" t="n"/>
      <c r="E21" s="146" t="n"/>
      <c r="F21" s="148" t="n"/>
      <c r="G21" s="87" t="n"/>
      <c r="H21" s="221" t="n"/>
      <c r="I21" s="222" t="n"/>
      <c r="J21" s="223" t="n"/>
      <c r="K21" s="222" t="n"/>
      <c r="L21" s="221" t="n"/>
      <c r="M21" s="304" t="n"/>
      <c r="N21" s="88" t="n"/>
      <c r="O21" s="159" t="n"/>
      <c r="P21" s="182" t="n"/>
      <c r="Q21" s="305" t="n"/>
      <c r="R21" s="90" t="n"/>
      <c r="S21" s="114" t="n"/>
      <c r="T21" s="308" t="n"/>
      <c r="U21" s="228" t="n"/>
      <c r="V21" s="225" t="n"/>
      <c r="W21" s="305" t="n"/>
      <c r="X21" s="161" t="n"/>
      <c r="Y21" s="204" t="n"/>
      <c r="Z21" s="309" t="n"/>
      <c r="AA21" s="307" t="n"/>
      <c r="AB21" s="307" t="n"/>
      <c r="AC21" s="307" t="n"/>
      <c r="AD21" s="307" t="n"/>
      <c r="AE21" s="307" t="n"/>
    </row>
    <row r="22" ht="15.6" customHeight="1">
      <c r="A22" s="151" t="n"/>
      <c r="B22" s="144" t="n"/>
      <c r="C22" s="87" t="n"/>
      <c r="D22" s="87" t="n"/>
      <c r="E22" s="146" t="n"/>
      <c r="F22" s="148" t="n"/>
      <c r="G22" s="87" t="n"/>
      <c r="H22" s="221" t="n"/>
      <c r="I22" s="222" t="n"/>
      <c r="J22" s="223" t="n"/>
      <c r="K22" s="222" t="n"/>
      <c r="L22" s="221" t="n"/>
      <c r="M22" s="304" t="n"/>
      <c r="N22" s="88" t="n"/>
      <c r="O22" s="159" t="n"/>
      <c r="P22" s="182" t="n"/>
      <c r="Q22" s="305" t="n"/>
      <c r="R22" s="90" t="n"/>
      <c r="S22" s="114" t="n"/>
      <c r="T22" s="308" t="n"/>
      <c r="U22" s="228" t="n"/>
      <c r="V22" s="225" t="n"/>
      <c r="W22" s="305" t="n"/>
      <c r="X22" s="161" t="n"/>
      <c r="Y22" s="204" t="n"/>
      <c r="Z22" s="309" t="n"/>
      <c r="AA22" s="307" t="n"/>
      <c r="AB22" s="307" t="n"/>
      <c r="AC22" s="307" t="n"/>
      <c r="AD22" s="307" t="n"/>
      <c r="AE22" s="307" t="n"/>
    </row>
    <row r="23" ht="15.6" customHeight="1">
      <c r="A23" s="151" t="n"/>
      <c r="B23" s="144" t="n"/>
      <c r="C23" s="87" t="n"/>
      <c r="D23" s="87" t="n"/>
      <c r="E23" s="146" t="n"/>
      <c r="F23" s="148" t="n"/>
      <c r="G23" s="87" t="n"/>
      <c r="H23" s="221" t="n"/>
      <c r="I23" s="222" t="n"/>
      <c r="J23" s="223" t="n"/>
      <c r="K23" s="222" t="n"/>
      <c r="L23" s="221" t="n"/>
      <c r="M23" s="304" t="n"/>
      <c r="N23" s="88" t="n"/>
      <c r="O23" s="159" t="n"/>
      <c r="P23" s="182" t="n"/>
      <c r="Q23" s="305" t="n"/>
      <c r="R23" s="90" t="n"/>
      <c r="S23" s="114" t="n"/>
      <c r="T23" s="308" t="n"/>
      <c r="U23" s="228" t="n"/>
      <c r="V23" s="225" t="n"/>
      <c r="W23" s="305" t="n"/>
      <c r="X23" s="161" t="n"/>
      <c r="Y23" s="204" t="n"/>
      <c r="Z23" s="309" t="n"/>
      <c r="AA23" s="307" t="n"/>
      <c r="AB23" s="307" t="n"/>
      <c r="AC23" s="307" t="n"/>
      <c r="AD23" s="307" t="n"/>
      <c r="AE23" s="307" t="n"/>
    </row>
    <row r="24" ht="15.6" customHeight="1">
      <c r="A24" s="151" t="n"/>
      <c r="B24" s="144" t="n"/>
      <c r="C24" s="87" t="n"/>
      <c r="D24" s="87" t="n"/>
      <c r="E24" s="146" t="n"/>
      <c r="F24" s="148" t="n"/>
      <c r="G24" s="87" t="n"/>
      <c r="H24" s="221" t="n"/>
      <c r="I24" s="222" t="n"/>
      <c r="J24" s="223" t="n"/>
      <c r="K24" s="222" t="n"/>
      <c r="L24" s="221" t="n"/>
      <c r="M24" s="304" t="n"/>
      <c r="N24" s="88" t="n"/>
      <c r="O24" s="159" t="n"/>
      <c r="P24" s="182" t="n"/>
      <c r="Q24" s="305" t="n"/>
      <c r="R24" s="90" t="n"/>
      <c r="S24" s="114" t="n"/>
      <c r="T24" s="308" t="n"/>
      <c r="U24" s="228" t="n"/>
      <c r="V24" s="225" t="n"/>
      <c r="W24" s="305" t="n"/>
      <c r="X24" s="161" t="n"/>
      <c r="Y24" s="204" t="n"/>
      <c r="Z24" s="309" t="n"/>
      <c r="AA24" s="307" t="n"/>
      <c r="AB24" s="307" t="n"/>
      <c r="AC24" s="307" t="n"/>
      <c r="AD24" s="307" t="n"/>
      <c r="AE24" s="307" t="n"/>
    </row>
    <row r="25" ht="15.6" customHeight="1">
      <c r="A25" s="151" t="n"/>
      <c r="B25" s="144" t="n"/>
      <c r="C25" s="87" t="n"/>
      <c r="D25" s="87" t="n"/>
      <c r="E25" s="146" t="n"/>
      <c r="F25" s="148" t="n"/>
      <c r="G25" s="87" t="n"/>
      <c r="H25" s="221" t="n"/>
      <c r="I25" s="222" t="n"/>
      <c r="J25" s="223" t="n"/>
      <c r="K25" s="222" t="n"/>
      <c r="L25" s="221" t="n"/>
      <c r="M25" s="304" t="n"/>
      <c r="N25" s="88" t="n"/>
      <c r="O25" s="159" t="n"/>
      <c r="P25" s="182" t="n"/>
      <c r="Q25" s="305" t="n"/>
      <c r="R25" s="90" t="n"/>
      <c r="S25" s="114" t="n"/>
      <c r="T25" s="308" t="n"/>
      <c r="U25" s="228" t="n"/>
      <c r="V25" s="225" t="n"/>
      <c r="W25" s="305" t="n"/>
      <c r="X25" s="161" t="n"/>
      <c r="Y25" s="204" t="n"/>
      <c r="Z25" s="309" t="n"/>
      <c r="AA25" s="307" t="n"/>
      <c r="AB25" s="307" t="n"/>
      <c r="AC25" s="307" t="n"/>
      <c r="AD25" s="307" t="n"/>
      <c r="AE25" s="307" t="n"/>
    </row>
    <row r="26" ht="15.6" customHeight="1">
      <c r="A26" s="151" t="n"/>
      <c r="B26" s="144" t="n"/>
      <c r="C26" s="87" t="n"/>
      <c r="D26" s="87" t="n"/>
      <c r="E26" s="146" t="n"/>
      <c r="F26" s="148" t="n"/>
      <c r="G26" s="87" t="n"/>
      <c r="H26" s="221" t="n"/>
      <c r="I26" s="222" t="n"/>
      <c r="J26" s="223" t="n"/>
      <c r="K26" s="222" t="n"/>
      <c r="L26" s="221" t="n"/>
      <c r="M26" s="304" t="n"/>
      <c r="N26" s="88" t="n"/>
      <c r="O26" s="159" t="n"/>
      <c r="P26" s="182" t="n"/>
      <c r="Q26" s="305" t="n"/>
      <c r="R26" s="90" t="n"/>
      <c r="S26" s="114" t="n"/>
      <c r="T26" s="308" t="n"/>
      <c r="U26" s="228" t="n"/>
      <c r="V26" s="225" t="n"/>
      <c r="W26" s="305" t="n"/>
      <c r="X26" s="161" t="n"/>
      <c r="Y26" s="204" t="n"/>
      <c r="Z26" s="309" t="n"/>
      <c r="AA26" s="307" t="n"/>
      <c r="AB26" s="307" t="n"/>
      <c r="AC26" s="307" t="n"/>
      <c r="AD26" s="307" t="n"/>
      <c r="AE26" s="307" t="n"/>
    </row>
    <row r="27" ht="15.6" customHeight="1">
      <c r="A27" s="151" t="n"/>
      <c r="B27" s="144" t="n"/>
      <c r="C27" s="87" t="n"/>
      <c r="D27" s="87" t="n"/>
      <c r="E27" s="146" t="n"/>
      <c r="F27" s="148" t="n"/>
      <c r="G27" s="87" t="n"/>
      <c r="H27" s="221" t="n"/>
      <c r="I27" s="222" t="n"/>
      <c r="J27" s="223" t="n"/>
      <c r="K27" s="222" t="n"/>
      <c r="L27" s="221" t="n"/>
      <c r="M27" s="304" t="n"/>
      <c r="N27" s="88" t="n"/>
      <c r="O27" s="159" t="n"/>
      <c r="P27" s="182" t="n"/>
      <c r="Q27" s="305" t="n"/>
      <c r="R27" s="90" t="n"/>
      <c r="S27" s="114" t="n"/>
      <c r="T27" s="308" t="n"/>
      <c r="U27" s="228" t="n"/>
      <c r="V27" s="225" t="n"/>
      <c r="W27" s="305" t="n"/>
      <c r="X27" s="161" t="n"/>
      <c r="Y27" s="204" t="n"/>
      <c r="Z27" s="309" t="n"/>
      <c r="AA27" s="307" t="n"/>
      <c r="AB27" s="307" t="n"/>
      <c r="AC27" s="307" t="n"/>
      <c r="AD27" s="307" t="n"/>
      <c r="AE27" s="307" t="n"/>
    </row>
    <row r="28">
      <c r="U28" s="91" t="n"/>
    </row>
    <row r="29">
      <c r="U29" s="91" t="n"/>
    </row>
    <row r="30">
      <c r="U30" s="91" t="n"/>
    </row>
    <row r="31">
      <c r="U31" s="91" t="n"/>
    </row>
    <row r="32">
      <c r="U32" s="91" t="n"/>
    </row>
    <row r="33">
      <c r="U33" s="91" t="n"/>
    </row>
    <row r="34">
      <c r="U34" s="91" t="n"/>
    </row>
    <row r="35">
      <c r="U35" s="91" t="n"/>
    </row>
    <row r="36">
      <c r="U36" s="91" t="n"/>
    </row>
    <row r="37">
      <c r="U37" s="91" t="n"/>
    </row>
    <row r="38">
      <c r="U38" s="91" t="n"/>
    </row>
    <row r="39">
      <c r="U39" s="91" t="n"/>
    </row>
    <row r="40">
      <c r="U40" s="91" t="n"/>
    </row>
    <row r="41">
      <c r="U41" s="91" t="n"/>
    </row>
    <row r="42">
      <c r="U42" s="91" t="n"/>
    </row>
    <row r="43">
      <c r="U43" s="91" t="n"/>
    </row>
    <row r="44">
      <c r="U44" s="91" t="n"/>
    </row>
  </sheetData>
  <mergeCells count="15">
    <mergeCell ref="F5:O5"/>
    <mergeCell ref="G4:H4"/>
    <mergeCell ref="C1:E1"/>
    <mergeCell ref="C2:E2"/>
    <mergeCell ref="Y5:AD5"/>
    <mergeCell ref="C5:E5"/>
    <mergeCell ref="T5:V5"/>
    <mergeCell ref="P5:R5"/>
    <mergeCell ref="G2:H2"/>
    <mergeCell ref="G1:H1"/>
    <mergeCell ref="C4:E4"/>
    <mergeCell ref="C3:E3"/>
    <mergeCell ref="K2:N3"/>
    <mergeCell ref="W5:X5"/>
    <mergeCell ref="G3:H3"/>
  </mergeCells>
  <conditionalFormatting sqref="Q8:Q27 T8:U27 W8:Y27">
    <cfRule type="cellIs" priority="8" operator="lessThan" dxfId="83">
      <formula>0</formula>
    </cfRule>
    <cfRule type="cellIs" priority="9" operator="greaterThan" dxfId="82">
      <formula>0</formula>
    </cfRule>
  </conditionalFormatting>
  <conditionalFormatting sqref="R8:R27 V8:V27">
    <cfRule type="cellIs" priority="7" operator="lessThan" dxfId="84">
      <formula>0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6"/>
  <sheetViews>
    <sheetView topLeftCell="D5" zoomScale="69" zoomScaleNormal="100" workbookViewId="0">
      <selection activeCell="J28" sqref="J28"/>
    </sheetView>
  </sheetViews>
  <sheetFormatPr baseColWidth="8" defaultColWidth="9.125" defaultRowHeight="15" customHeight="1"/>
  <cols>
    <col width="32.125" customWidth="1" min="2" max="2"/>
    <col hidden="1" width="3.875" customWidth="1" min="3" max="3"/>
    <col width="29.625" customWidth="1" min="4" max="4"/>
    <col width="16.375" customWidth="1" min="5" max="6"/>
    <col width="15.375" customWidth="1" min="7" max="11"/>
    <col width="28.375" customWidth="1" min="12" max="12"/>
    <col width="15.375" customWidth="1" min="13" max="13"/>
    <col width="17.375" customWidth="1" min="14" max="14"/>
    <col width="15.375" customWidth="1" min="15" max="15"/>
    <col hidden="1" width="15.375" customWidth="1" min="16" max="31"/>
    <col hidden="1" width="16.125" customWidth="1" min="32" max="32"/>
    <col hidden="1" width="15.375" customWidth="1" min="33" max="39"/>
    <col width="19" customWidth="1" min="40" max="40"/>
    <col width="16.375" customWidth="1" min="41" max="41"/>
  </cols>
  <sheetData>
    <row r="1" ht="15.6" customHeight="1">
      <c r="B1" s="272" t="inlineStr">
        <is>
          <t>Fill in Yellow Cells with current Team Effort</t>
        </is>
      </c>
    </row>
    <row r="4" ht="18" customHeight="1">
      <c r="D4" s="163" t="n"/>
      <c r="E4" s="163" t="n"/>
      <c r="G4" s="273" t="inlineStr">
        <is>
          <t>March</t>
        </is>
      </c>
      <c r="J4" s="271" t="inlineStr">
        <is>
          <t>April</t>
        </is>
      </c>
      <c r="M4" s="273" t="inlineStr">
        <is>
          <t>May</t>
        </is>
      </c>
      <c r="P4" s="271" t="inlineStr">
        <is>
          <t>June</t>
        </is>
      </c>
      <c r="S4" s="273" t="inlineStr">
        <is>
          <t>July</t>
        </is>
      </c>
      <c r="V4" s="273" t="inlineStr">
        <is>
          <t>August</t>
        </is>
      </c>
      <c r="Y4" s="271" t="inlineStr">
        <is>
          <t>September</t>
        </is>
      </c>
      <c r="AB4" s="273" t="inlineStr">
        <is>
          <t>October</t>
        </is>
      </c>
      <c r="AE4" s="271" t="inlineStr">
        <is>
          <t>November</t>
        </is>
      </c>
      <c r="AH4" s="273" t="inlineStr">
        <is>
          <t>December</t>
        </is>
      </c>
      <c r="AK4" s="271" t="inlineStr">
        <is>
          <t>January</t>
        </is>
      </c>
    </row>
    <row r="5" ht="33.95" customFormat="1" customHeight="1" s="134">
      <c r="A5" s="173" t="inlineStr">
        <is>
          <t>#</t>
        </is>
      </c>
      <c r="B5" s="173" t="inlineStr">
        <is>
          <t>Name</t>
        </is>
      </c>
      <c r="C5" s="173" t="n"/>
      <c r="D5" s="173" t="inlineStr">
        <is>
          <t>Position</t>
        </is>
      </c>
      <c r="E5" s="172" t="inlineStr">
        <is>
          <t>Hour Rate ($)</t>
        </is>
      </c>
      <c r="F5" s="172" t="inlineStr">
        <is>
          <t>Overtime Rate</t>
        </is>
      </c>
      <c r="G5" s="174" t="inlineStr">
        <is>
          <t>Regular Time (MH)</t>
        </is>
      </c>
      <c r="H5" s="174" t="inlineStr">
        <is>
          <t>Ramdan Hours</t>
        </is>
      </c>
      <c r="I5" s="174" t="inlineStr">
        <is>
          <t>Over Time (MH)</t>
        </is>
      </c>
      <c r="J5" s="174" t="inlineStr">
        <is>
          <t>Regular Time (MH)</t>
        </is>
      </c>
      <c r="K5" s="174" t="inlineStr">
        <is>
          <t>Ramdan Hours</t>
        </is>
      </c>
      <c r="L5" s="174" t="inlineStr">
        <is>
          <t>Over Time (MH)</t>
        </is>
      </c>
      <c r="M5" s="174" t="inlineStr">
        <is>
          <t>Regular Time (MH)</t>
        </is>
      </c>
      <c r="N5" s="174" t="inlineStr">
        <is>
          <t>Ramdan Hours</t>
        </is>
      </c>
      <c r="O5" s="174" t="inlineStr">
        <is>
          <t>Over Time (MH)</t>
        </is>
      </c>
      <c r="P5" s="174" t="inlineStr">
        <is>
          <t>Regular Time (MH)</t>
        </is>
      </c>
      <c r="Q5" s="174" t="inlineStr">
        <is>
          <t>Ramdan Hours</t>
        </is>
      </c>
      <c r="R5" s="174" t="inlineStr">
        <is>
          <t>Over Time (MH)</t>
        </is>
      </c>
      <c r="S5" s="174" t="inlineStr">
        <is>
          <t>Regular Time (MH)</t>
        </is>
      </c>
      <c r="T5" s="174" t="inlineStr">
        <is>
          <t>Ramdan Hours</t>
        </is>
      </c>
      <c r="U5" s="174" t="inlineStr">
        <is>
          <t>Over Time (MH)</t>
        </is>
      </c>
      <c r="V5" s="174" t="inlineStr">
        <is>
          <t>Regular Time (MH)</t>
        </is>
      </c>
      <c r="W5" s="174" t="inlineStr">
        <is>
          <t>Ramdan Hours</t>
        </is>
      </c>
      <c r="X5" s="174" t="inlineStr">
        <is>
          <t>Over Time (MH)</t>
        </is>
      </c>
      <c r="Y5" s="174" t="inlineStr">
        <is>
          <t>Regular Time (MH)</t>
        </is>
      </c>
      <c r="Z5" s="174" t="inlineStr">
        <is>
          <t>Ramdan Hours</t>
        </is>
      </c>
      <c r="AA5" s="174" t="inlineStr">
        <is>
          <t>Over Time (MH)</t>
        </is>
      </c>
      <c r="AB5" s="174" t="inlineStr">
        <is>
          <t>Regular Time (MH)</t>
        </is>
      </c>
      <c r="AC5" s="174" t="inlineStr">
        <is>
          <t>Ramdan Hours</t>
        </is>
      </c>
      <c r="AD5" s="174" t="inlineStr">
        <is>
          <t>Over Time (MH)</t>
        </is>
      </c>
      <c r="AE5" s="174" t="inlineStr">
        <is>
          <t>Regular Time (MH)</t>
        </is>
      </c>
      <c r="AF5" s="174" t="inlineStr">
        <is>
          <t>Ramdan Hours</t>
        </is>
      </c>
      <c r="AG5" s="174" t="inlineStr">
        <is>
          <t>Over Time (MH)</t>
        </is>
      </c>
      <c r="AH5" s="174" t="inlineStr">
        <is>
          <t>Regular Time (MH)</t>
        </is>
      </c>
      <c r="AI5" s="174" t="inlineStr">
        <is>
          <t>Ramdan Hours</t>
        </is>
      </c>
      <c r="AJ5" s="174" t="inlineStr">
        <is>
          <t>Over Time (MH)</t>
        </is>
      </c>
      <c r="AK5" s="174" t="inlineStr">
        <is>
          <t>Regular Time (MH)</t>
        </is>
      </c>
      <c r="AL5" s="174" t="inlineStr">
        <is>
          <t>Ramdan Hours</t>
        </is>
      </c>
      <c r="AM5" s="174" t="inlineStr">
        <is>
          <t>Over Time (MH)</t>
        </is>
      </c>
      <c r="AN5" s="172" t="inlineStr">
        <is>
          <t>Total Cost</t>
        </is>
      </c>
      <c r="AO5" s="172" t="inlineStr">
        <is>
          <t>Current MDs done</t>
        </is>
      </c>
    </row>
    <row r="6" ht="14.45" customHeight="1">
      <c r="A6" t="n">
        <v>1</v>
      </c>
      <c r="B6" s="131" t="inlineStr">
        <is>
          <t>Abdelrhman Doghish</t>
        </is>
      </c>
      <c r="C6" s="131" t="n"/>
      <c r="D6" s="211" t="inlineStr">
        <is>
          <t>KSA - Project Manager</t>
        </is>
      </c>
      <c r="E6" s="310">
        <f>VLOOKUP(D:D,Positions2024!A:B,2,0)</f>
        <v/>
      </c>
      <c r="F6" s="311">
        <f>'Current Effort - Development'!$E6*1.5</f>
        <v/>
      </c>
      <c r="G6" s="167" t="n">
        <v>8</v>
      </c>
      <c r="H6" s="167" t="n"/>
      <c r="I6" s="167" t="n"/>
      <c r="J6" s="168" t="n">
        <v>88</v>
      </c>
      <c r="K6" s="167" t="n"/>
      <c r="L6" s="167" t="n"/>
      <c r="M6" s="168" t="n"/>
      <c r="N6" s="167" t="n"/>
      <c r="O6" s="167" t="n"/>
      <c r="P6" s="168" t="n"/>
      <c r="Q6" s="167" t="n"/>
      <c r="R6" s="167" t="n"/>
      <c r="S6" s="168" t="n"/>
      <c r="T6" s="167" t="n"/>
      <c r="U6" s="167" t="n"/>
      <c r="V6" s="168" t="n"/>
      <c r="W6" s="167" t="n"/>
      <c r="X6" s="167" t="n"/>
      <c r="Y6" s="168" t="n"/>
      <c r="Z6" s="167" t="n"/>
      <c r="AA6" s="167" t="n"/>
      <c r="AB6" s="168" t="n"/>
      <c r="AC6" s="167" t="n"/>
      <c r="AD6" s="167" t="n"/>
      <c r="AE6" s="168" t="n"/>
      <c r="AF6" s="167" t="n"/>
      <c r="AG6" s="167" t="n"/>
      <c r="AH6" s="168" t="n"/>
      <c r="AI6" s="167" t="n"/>
      <c r="AJ6" s="167" t="n"/>
      <c r="AK6" s="168" t="n"/>
      <c r="AL6" s="167" t="n"/>
      <c r="AM6" s="167" t="n"/>
      <c r="AN6" s="312">
        <f>SUM(G6:H6,J6:K6,M6:N6,P6:Q6,S6:T6,V6:W6,Y6:Z6,AB6:AC6,AE6:AF6,AE6:AF6,AH6:AI6,AK6:AL6)*E6+SUM(I6,L6,O6,R6,U6,X6,AA6,AD6,AG6,AJ6,AM6)*F6</f>
        <v/>
      </c>
      <c r="AO6" s="310">
        <f>((G6+I6+J6+L6+M6+O6+P6+R6+S6+U6+V6+X6+Y6+AA6+AB6+AD6+AE6+AG6+AH6+AJ6+AK6+AM6)/8)+((H6+K6+N6+Q6+T6+W6+Z6+AC6+AF6+AI6+AL6)/6)</f>
        <v/>
      </c>
    </row>
    <row r="7" ht="14.45" customHeight="1">
      <c r="A7" t="n">
        <v>2</v>
      </c>
      <c r="B7" s="213" t="inlineStr">
        <is>
          <t xml:space="preserve">Ahmed Araby </t>
        </is>
      </c>
      <c r="C7" s="207" t="n"/>
      <c r="D7" s="212" t="inlineStr">
        <is>
          <t>EGY - Sr UX Designer</t>
        </is>
      </c>
      <c r="E7" s="310">
        <f>VLOOKUP(D:D,Positions2024!A:B,2,0)</f>
        <v/>
      </c>
      <c r="F7" s="311">
        <f>'Current Effort - Development'!$E7*1.5</f>
        <v/>
      </c>
      <c r="G7" s="169" t="n"/>
      <c r="H7" s="169" t="n"/>
      <c r="I7" s="169" t="n"/>
      <c r="J7" s="170" t="n">
        <v>56</v>
      </c>
      <c r="K7" s="169" t="n"/>
      <c r="L7" s="169" t="n"/>
      <c r="M7" s="170" t="n"/>
      <c r="N7" s="169" t="n"/>
      <c r="O7" s="169" t="n"/>
      <c r="P7" s="170" t="n"/>
      <c r="Q7" s="169" t="n"/>
      <c r="R7" s="169" t="n"/>
      <c r="S7" s="170" t="n"/>
      <c r="T7" s="169" t="n"/>
      <c r="U7" s="169" t="n"/>
      <c r="V7" s="170" t="n"/>
      <c r="W7" s="169" t="n"/>
      <c r="X7" s="169" t="n"/>
      <c r="Y7" s="170" t="n"/>
      <c r="Z7" s="169" t="n"/>
      <c r="AA7" s="169" t="n"/>
      <c r="AB7" s="170" t="n"/>
      <c r="AC7" s="169" t="n"/>
      <c r="AD7" s="169" t="n"/>
      <c r="AE7" s="170" t="n"/>
      <c r="AF7" s="169" t="n"/>
      <c r="AG7" s="169" t="n"/>
      <c r="AH7" s="170" t="n"/>
      <c r="AI7" s="169" t="n"/>
      <c r="AJ7" s="169" t="n"/>
      <c r="AK7" s="170" t="n"/>
      <c r="AL7" s="169" t="n"/>
      <c r="AM7" s="169" t="n"/>
      <c r="AN7" s="312">
        <f>SUM(G7:H7,J7:K7,M7:N7,P7:Q7,S7:T7,V7:W7,Y7:Z7,AB7:AC7,AE7:AF7,AE7:AF7,AH7:AI7,AK7:AL7)*E7+SUM(I7,L7,O7,R7,U7,X7,AA7,AD7,AG7,AJ7,AM7)*F7</f>
        <v/>
      </c>
      <c r="AO7" s="310">
        <f>((G7+I7+J7+L7+M7+O7+P7+R7+S7+U7+V7+X7+Y7+AA7+AB7+AD7+AE7+AG7+AH7+AJ7+AK7+AM7)/8)+((H7+K7+N7+Q7+T7+W7+Z7+AC7+AF7+AI7+AL7)/6)</f>
        <v/>
      </c>
    </row>
    <row r="8" ht="18" customHeight="1">
      <c r="A8" t="n">
        <v>3</v>
      </c>
      <c r="B8" s="219" t="inlineStr">
        <is>
          <t>Ahmed Mortdi</t>
        </is>
      </c>
      <c r="C8" s="131" t="n"/>
      <c r="D8" s="211" t="inlineStr">
        <is>
          <t>EGY - Software Engineer</t>
        </is>
      </c>
      <c r="E8" s="310">
        <f>VLOOKUP(D:D,Positions2024!A:B,2,0)</f>
        <v/>
      </c>
      <c r="F8" s="311">
        <f>'Current Effort - Development'!$E8*1.5</f>
        <v/>
      </c>
      <c r="G8" s="167" t="n"/>
      <c r="H8" s="167" t="n"/>
      <c r="I8" s="167" t="n"/>
      <c r="J8" s="168" t="n">
        <v>44</v>
      </c>
      <c r="K8" s="167" t="n"/>
      <c r="L8" s="167" t="n"/>
      <c r="M8" s="168" t="n"/>
      <c r="N8" s="167" t="n"/>
      <c r="O8" s="167" t="n"/>
      <c r="P8" s="168" t="n"/>
      <c r="Q8" s="167" t="n"/>
      <c r="R8" s="167" t="n"/>
      <c r="S8" s="168" t="n"/>
      <c r="T8" s="167" t="n"/>
      <c r="U8" s="167" t="n"/>
      <c r="V8" s="168" t="n"/>
      <c r="W8" s="167" t="n"/>
      <c r="X8" s="167" t="n"/>
      <c r="Y8" s="168" t="n"/>
      <c r="Z8" s="167" t="n"/>
      <c r="AA8" s="167" t="n"/>
      <c r="AB8" s="168" t="n"/>
      <c r="AC8" s="167" t="n"/>
      <c r="AD8" s="167" t="n"/>
      <c r="AE8" s="168" t="n"/>
      <c r="AF8" s="167" t="n"/>
      <c r="AG8" s="167" t="n"/>
      <c r="AH8" s="168" t="n"/>
      <c r="AI8" s="167" t="n"/>
      <c r="AJ8" s="167" t="n"/>
      <c r="AK8" s="168" t="n"/>
      <c r="AL8" s="167" t="n"/>
      <c r="AM8" s="167" t="n"/>
      <c r="AN8" s="312">
        <f>SUM(G8:H8,J8:K8,M8:N8,P8:Q8,S8:T8,V8:W8,Y8:Z8,AB8:AC8,AE8:AF8,AE8:AF8,AH8:AI8,AK8:AL8)*E8+SUM(I8,L8,O8,R8,U8,X8,AA8,AD8,AG8,AJ8,AM8)*F8</f>
        <v/>
      </c>
      <c r="AO8" s="310">
        <f>((G8+I8+J8+L8+M8+O8+P8+R8+S8+U8+V8+X8+Y8+AA8+AB8+AD8+AE8+AG8+AH8+AJ8+AK8+AM8)/8)+((H8+K8+N8+Q8+T8+W8+Z8+AC8+AF8+AI8+AL8)/6)</f>
        <v/>
      </c>
    </row>
    <row r="9" ht="14.45" customHeight="1">
      <c r="A9" t="n">
        <v>4</v>
      </c>
      <c r="B9" s="213" t="inlineStr">
        <is>
          <t xml:space="preserve">Basem Mohamed </t>
        </is>
      </c>
      <c r="C9" s="207" t="n"/>
      <c r="D9" s="212" t="inlineStr">
        <is>
          <t>EGY - Project Manager</t>
        </is>
      </c>
      <c r="E9" s="310">
        <f>VLOOKUP(D:D,Positions2024!A:B,2,0)</f>
        <v/>
      </c>
      <c r="F9" s="311">
        <f>'Current Effort - Development'!$E9*1.5</f>
        <v/>
      </c>
      <c r="G9" s="169" t="n">
        <v>19</v>
      </c>
      <c r="H9" s="169" t="n">
        <v>16</v>
      </c>
      <c r="I9" s="169" t="n"/>
      <c r="J9" s="170" t="n">
        <v>39</v>
      </c>
      <c r="K9" s="169" t="n"/>
      <c r="L9" s="169" t="n"/>
      <c r="M9" s="170" t="n"/>
      <c r="N9" s="169" t="n"/>
      <c r="O9" s="169" t="n"/>
      <c r="P9" s="170" t="n"/>
      <c r="Q9" s="169" t="n"/>
      <c r="R9" s="169" t="n"/>
      <c r="S9" s="170" t="n"/>
      <c r="T9" s="169" t="n"/>
      <c r="U9" s="169" t="n"/>
      <c r="V9" s="170" t="n"/>
      <c r="W9" s="169" t="n"/>
      <c r="X9" s="169" t="n"/>
      <c r="Y9" s="170" t="n"/>
      <c r="Z9" s="169" t="n"/>
      <c r="AA9" s="169" t="n"/>
      <c r="AB9" s="170" t="n"/>
      <c r="AC9" s="169" t="n"/>
      <c r="AD9" s="169" t="n"/>
      <c r="AE9" s="170" t="n"/>
      <c r="AF9" s="169" t="n"/>
      <c r="AG9" s="169" t="n"/>
      <c r="AH9" s="170" t="n"/>
      <c r="AI9" s="169" t="n"/>
      <c r="AJ9" s="169" t="n"/>
      <c r="AK9" s="170" t="n"/>
      <c r="AL9" s="169" t="n"/>
      <c r="AM9" s="169" t="n"/>
      <c r="AN9" s="312">
        <f>SUM(G9:H9,J9:K9,M9:N9,P9:Q9,S9:T9,V9:W9,Y9:Z9,AB9:AC9,AE9:AF9,AE9:AF9,AH9:AI9,AK9:AL9)*E9+SUM(I9,L9,O9,R9,U9,X9,AA9,AD9,AG9,AJ9,AM9)*F9</f>
        <v/>
      </c>
      <c r="AO9" s="310">
        <f>((G9+I9+J9+L9+M9+O9+P9+R9+S9+U9+V9+X9+Y9+AA9+AB9+AD9+AE9+AG9+AH9+AJ9+AK9+AM9)/8)+((H9+K9+N9+Q9+T9+W9+Z9+AC9+AF9+AI9+AL9)/6)</f>
        <v/>
      </c>
    </row>
    <row r="10" ht="14.45" customHeight="1">
      <c r="A10" t="n">
        <v>5</v>
      </c>
      <c r="B10" s="131" t="inlineStr">
        <is>
          <t>David Magdy</t>
        </is>
      </c>
      <c r="C10" s="131" t="n"/>
      <c r="D10" s="211" t="inlineStr">
        <is>
          <t>EGY - Lead Software Engineer</t>
        </is>
      </c>
      <c r="E10" s="310">
        <f>VLOOKUP(D:D,Positions2024!A:B,2,0)</f>
        <v/>
      </c>
      <c r="F10" s="311">
        <f>'Current Effort - Development'!$E10*1.5</f>
        <v/>
      </c>
      <c r="G10" s="167" t="n">
        <v>30</v>
      </c>
      <c r="H10" s="167" t="n"/>
      <c r="I10" s="167" t="n"/>
      <c r="J10" s="168" t="n">
        <v>32</v>
      </c>
      <c r="K10" s="167" t="n"/>
      <c r="L10" s="167" t="n"/>
      <c r="M10" s="168" t="n"/>
      <c r="N10" s="167" t="n"/>
      <c r="O10" s="167" t="n"/>
      <c r="P10" s="168" t="n"/>
      <c r="Q10" s="167" t="n"/>
      <c r="R10" s="167" t="n"/>
      <c r="S10" s="168" t="n"/>
      <c r="T10" s="167" t="n"/>
      <c r="U10" s="167" t="n"/>
      <c r="V10" s="168" t="n"/>
      <c r="W10" s="167" t="n"/>
      <c r="X10" s="167" t="n"/>
      <c r="Y10" s="168" t="n"/>
      <c r="Z10" s="167" t="n"/>
      <c r="AA10" s="167" t="n"/>
      <c r="AB10" s="168" t="n"/>
      <c r="AC10" s="167" t="n"/>
      <c r="AD10" s="167" t="n"/>
      <c r="AE10" s="168" t="n"/>
      <c r="AF10" s="167" t="n"/>
      <c r="AG10" s="167" t="n"/>
      <c r="AH10" s="168" t="n"/>
      <c r="AI10" s="167" t="n"/>
      <c r="AJ10" s="167" t="n"/>
      <c r="AK10" s="168" t="n"/>
      <c r="AL10" s="167" t="n"/>
      <c r="AM10" s="167" t="n"/>
      <c r="AN10" s="312">
        <f>SUM(G10:H10,J10:K10,M10:N10,P10:Q10,S10:T10,V10:W10,Y10:Z10,AB10:AC10,AE10:AF10,AE10:AF10,AH10:AI10,AK10:AL10)*E10+SUM(I10,L10,O10,R10,U10,X10,AA10,AD10,AG10,AJ10,AM10)*F10</f>
        <v/>
      </c>
      <c r="AO10" s="310">
        <f>((G10+I10+J10+L10+M10+O10+P10+R10+S10+U10+V10+X10+Y10+AA10+AB10+AD10+AE10+AG10+AH10+AJ10+AK10+AM10)/8)+((H10+K10+N10+Q10+T10+W10+Z10+AC10+AF10+AI10+AL10)/6)</f>
        <v/>
      </c>
    </row>
    <row r="11" ht="14.45" customHeight="1">
      <c r="A11" t="n">
        <v>6</v>
      </c>
      <c r="B11" s="213" t="inlineStr">
        <is>
          <t>Haitham Nabil</t>
        </is>
      </c>
      <c r="C11" s="207" t="n"/>
      <c r="D11" s="211" t="inlineStr">
        <is>
          <t>EGY - Sr Business Analyst</t>
        </is>
      </c>
      <c r="E11" s="310">
        <f>VLOOKUP(D:D,Positions2024!A:B,2,0)</f>
        <v/>
      </c>
      <c r="F11" s="311">
        <f>'Current Effort - Development'!$E11*1.5</f>
        <v/>
      </c>
      <c r="G11" s="169" t="n"/>
      <c r="H11" s="169" t="n"/>
      <c r="I11" s="169" t="n"/>
      <c r="J11" s="170" t="n">
        <v>64</v>
      </c>
      <c r="K11" s="169" t="n"/>
      <c r="L11" s="169" t="n"/>
      <c r="M11" s="170" t="n"/>
      <c r="N11" s="169" t="n"/>
      <c r="O11" s="169" t="n"/>
      <c r="P11" s="170" t="n"/>
      <c r="Q11" s="169" t="n"/>
      <c r="R11" s="169" t="n"/>
      <c r="S11" s="170" t="n"/>
      <c r="T11" s="169" t="n"/>
      <c r="U11" s="169" t="n"/>
      <c r="V11" s="170" t="n"/>
      <c r="W11" s="169" t="n"/>
      <c r="X11" s="169" t="n"/>
      <c r="Y11" s="170" t="n"/>
      <c r="Z11" s="169" t="n"/>
      <c r="AA11" s="169" t="n"/>
      <c r="AB11" s="170" t="n"/>
      <c r="AC11" s="169" t="n"/>
      <c r="AD11" s="169" t="n"/>
      <c r="AE11" s="170" t="n"/>
      <c r="AF11" s="169" t="n"/>
      <c r="AG11" s="169" t="n"/>
      <c r="AH11" s="170" t="n"/>
      <c r="AI11" s="169" t="n"/>
      <c r="AJ11" s="169" t="n"/>
      <c r="AK11" s="170" t="n"/>
      <c r="AL11" s="169" t="n"/>
      <c r="AM11" s="169" t="n"/>
      <c r="AN11" s="312">
        <f>SUM(G11:H11,J11:K11,M11:N11,P11:Q11,S11:T11,V11:W11,Y11:Z11,AB11:AC11,AE11:AF11,AE11:AF11,AH11:AI11,AK11:AL11)*E11+SUM(I11,L11,O11,R11,U11,X11,AA11,AD11,AG11,AJ11,AM11)*F11</f>
        <v/>
      </c>
      <c r="AO11" s="310">
        <f>((G11+I11+J11+L11+M11+O11+P11+R11+S11+U11+V11+X11+Y11+AA11+AB11+AD11+AE11+AG11+AH11+AJ11+AK11+AM11)/8)+((H11+K11+N11+Q11+T11+W11+Z11+AC11+AF11+AI11+AL11)/6)</f>
        <v/>
      </c>
    </row>
    <row r="12" ht="14.45" customHeight="1">
      <c r="A12" t="n">
        <v>7</v>
      </c>
      <c r="B12" s="131" t="inlineStr">
        <is>
          <t>Mahmoud Spahi</t>
        </is>
      </c>
      <c r="C12" s="131" t="n"/>
      <c r="D12" s="211" t="inlineStr">
        <is>
          <t>KSA - Solution Architect / Manager</t>
        </is>
      </c>
      <c r="E12" s="310">
        <f>VLOOKUP(D:D,Positions2024!A:B,2,0)</f>
        <v/>
      </c>
      <c r="F12" s="311">
        <f>'Current Effort - Development'!$E12*1.5</f>
        <v/>
      </c>
      <c r="G12" s="167" t="n"/>
      <c r="H12" s="167" t="n"/>
      <c r="I12" s="167" t="n"/>
      <c r="J12" s="168" t="n">
        <v>46</v>
      </c>
      <c r="K12" s="167" t="n"/>
      <c r="L12" s="167" t="n"/>
      <c r="M12" s="168" t="n"/>
      <c r="N12" s="167" t="n"/>
      <c r="O12" s="167" t="n"/>
      <c r="P12" s="168" t="n"/>
      <c r="Q12" s="167" t="n"/>
      <c r="R12" s="167" t="n"/>
      <c r="S12" s="168" t="n"/>
      <c r="T12" s="167" t="n"/>
      <c r="U12" s="167" t="n"/>
      <c r="V12" s="168" t="n"/>
      <c r="W12" s="167" t="n"/>
      <c r="X12" s="167" t="n"/>
      <c r="Y12" s="168" t="n"/>
      <c r="Z12" s="167" t="n"/>
      <c r="AA12" s="167" t="n"/>
      <c r="AB12" s="168" t="n"/>
      <c r="AC12" s="167" t="n"/>
      <c r="AD12" s="167" t="n"/>
      <c r="AE12" s="168" t="n"/>
      <c r="AF12" s="167" t="n"/>
      <c r="AG12" s="167" t="n"/>
      <c r="AH12" s="168" t="n"/>
      <c r="AI12" s="167" t="n"/>
      <c r="AJ12" s="167" t="n"/>
      <c r="AK12" s="168" t="n"/>
      <c r="AL12" s="167" t="n"/>
      <c r="AM12" s="167" t="n"/>
      <c r="AN12" s="312">
        <f>SUM(G12:H12,J12:K12,M12:N12,P12:Q12,S12:T12,V12:W12,Y12:Z12,AB12:AC12,AE12:AF12,AE12:AF12,AH12:AI12,AK12:AL12)*E12+SUM(I12,L12,O12,R12,U12,X12,AA12,AD12,AG12,AJ12,AM12)*F12</f>
        <v/>
      </c>
      <c r="AO12" s="310">
        <f>((G12+I12+J12+L12+M12+O12+P12+R12+S12+U12+V12+X12+Y12+AA12+AB12+AD12+AE12+AG12+AH12+AJ12+AK12+AM12)/8)+((H12+K12+N12+Q12+T12+W12+Z12+AC12+AF12+AI12+AL12)/6)</f>
        <v/>
      </c>
    </row>
    <row r="13" ht="14.45" customHeight="1">
      <c r="A13" t="n">
        <v>8</v>
      </c>
      <c r="B13" s="213" t="inlineStr">
        <is>
          <t>Menna Adel</t>
        </is>
      </c>
      <c r="C13" s="207" t="n"/>
      <c r="D13" s="212" t="inlineStr">
        <is>
          <t>EGY - Sr UX Designer</t>
        </is>
      </c>
      <c r="E13" s="310">
        <f>VLOOKUP(D:D,Positions2024!A:B,2,0)</f>
        <v/>
      </c>
      <c r="F13" s="311">
        <f>'Current Effort - Development'!$E13*1.5</f>
        <v/>
      </c>
      <c r="G13" s="169" t="n"/>
      <c r="H13" s="169" t="n"/>
      <c r="I13" s="169" t="n"/>
      <c r="J13" s="170" t="n">
        <v>25</v>
      </c>
      <c r="K13" s="169" t="n"/>
      <c r="L13" s="169" t="n"/>
      <c r="M13" s="170" t="n"/>
      <c r="N13" s="169" t="n"/>
      <c r="O13" s="169" t="n"/>
      <c r="P13" s="170" t="n"/>
      <c r="Q13" s="169" t="n"/>
      <c r="R13" s="169" t="n"/>
      <c r="S13" s="170" t="n"/>
      <c r="T13" s="169" t="n"/>
      <c r="U13" s="169" t="n"/>
      <c r="V13" s="170" t="n"/>
      <c r="W13" s="169" t="n"/>
      <c r="X13" s="169" t="n"/>
      <c r="Y13" s="170" t="n"/>
      <c r="Z13" s="169" t="n"/>
      <c r="AA13" s="169" t="n"/>
      <c r="AB13" s="170" t="n"/>
      <c r="AC13" s="169" t="n"/>
      <c r="AD13" s="169" t="n"/>
      <c r="AE13" s="170" t="n"/>
      <c r="AF13" s="169" t="n"/>
      <c r="AG13" s="169" t="n"/>
      <c r="AH13" s="170" t="n"/>
      <c r="AI13" s="169" t="n"/>
      <c r="AJ13" s="169" t="n"/>
      <c r="AK13" s="168" t="n"/>
      <c r="AL13" s="167" t="n"/>
      <c r="AM13" s="167" t="n"/>
      <c r="AN13" s="312">
        <f>SUM(G13:H13,J13:K13,M13:N13,P13:Q13,S13:T13,V13:W13,Y13:Z13,AB13:AC13,AE13:AF13,AE13:AF13,AH13:AI13,AK13:AL13)*E13+SUM(I13,L13,O13,R13,U13,X13,AA13,AD13,AG13,AJ13,AM13)*F13</f>
        <v/>
      </c>
      <c r="AO13" s="310">
        <f>((G13+I13+J13+L13+M13+O13+P13+R13+S13+U13+V13+X13+Y13+AA13+AB13+AD13+AE13+AG13+AH13+AJ13+AK13+AM13)/8)+((H13+K13+N13+Q13+T13+W13+Z13+AC13+AF13+AI13+AL13)/6)</f>
        <v/>
      </c>
    </row>
    <row r="14" ht="14.45" customHeight="1">
      <c r="A14" t="n">
        <v>9</v>
      </c>
      <c r="B14" s="131" t="inlineStr">
        <is>
          <t>Moatasem Hatem</t>
        </is>
      </c>
      <c r="C14" s="131" t="n"/>
      <c r="D14" s="211" t="inlineStr">
        <is>
          <t>EGY - Lead Business Analyst</t>
        </is>
      </c>
      <c r="E14" s="310">
        <f>VLOOKUP(D:D,Positions2024!A:B,2,0)</f>
        <v/>
      </c>
      <c r="F14" s="311">
        <f>'Current Effort - Development'!$E14*1.5</f>
        <v/>
      </c>
      <c r="G14" s="167" t="n">
        <v>45</v>
      </c>
      <c r="H14" s="167" t="n">
        <v>73</v>
      </c>
      <c r="I14" s="167" t="n"/>
      <c r="J14" s="168" t="n">
        <v>127.5</v>
      </c>
      <c r="K14" s="167" t="n"/>
      <c r="L14" s="167" t="n"/>
      <c r="M14" s="168" t="n"/>
      <c r="N14" s="167" t="n"/>
      <c r="O14" s="167" t="n"/>
      <c r="P14" s="168" t="n"/>
      <c r="Q14" s="167" t="n"/>
      <c r="R14" s="167" t="n"/>
      <c r="S14" s="168" t="n"/>
      <c r="T14" s="167" t="n"/>
      <c r="U14" s="167" t="n"/>
      <c r="V14" s="168" t="n"/>
      <c r="W14" s="167" t="n"/>
      <c r="X14" s="167" t="n"/>
      <c r="Y14" s="168" t="n"/>
      <c r="Z14" s="167" t="n"/>
      <c r="AA14" s="167" t="n"/>
      <c r="AB14" s="168" t="n"/>
      <c r="AC14" s="167" t="n"/>
      <c r="AD14" s="167" t="n"/>
      <c r="AE14" s="168" t="n"/>
      <c r="AF14" s="167" t="n"/>
      <c r="AG14" s="167" t="n"/>
      <c r="AH14" s="168" t="n"/>
      <c r="AI14" s="167" t="n"/>
      <c r="AJ14" s="167" t="n"/>
      <c r="AK14" s="170" t="n"/>
      <c r="AL14" s="169" t="n"/>
      <c r="AM14" s="169" t="n"/>
      <c r="AN14" s="312">
        <f>SUM(G14:H14,J14:K14,M14:N14,P14:Q14,S14:T14,V14:W14,Y14:Z14,AB14:AC14,AE14:AF14,AE14:AF14,AH14:AI14,AK14:AL14)*E14+SUM(I14,L14,O14,R14,U14,X14,AA14,AD14,AG14,AJ14,AM14)*F14</f>
        <v/>
      </c>
      <c r="AO14" s="310">
        <f>((G14+I14+J14+L14+M14+O14+P14+R14+S14+U14+V14+X14+Y14+AA14+AB14+AD14+AE14+AG14+AH14+AJ14+AK14+AM14)/8)+((H14+K14+N14+Q14+T14+W14+Z14+AC14+AF14+AI14+AL14)/6)</f>
        <v/>
      </c>
    </row>
    <row r="15" ht="14.45" customHeight="1">
      <c r="A15" t="n">
        <v>10</v>
      </c>
      <c r="B15" s="213" t="inlineStr">
        <is>
          <t>Moatasem Hatem</t>
        </is>
      </c>
      <c r="C15" s="207" t="n"/>
      <c r="D15" s="212" t="inlineStr">
        <is>
          <t>EGY - Lead Business Analyst - onsite</t>
        </is>
      </c>
      <c r="E15" s="310">
        <f>VLOOKUP(D:D,Positions2024!A:B,2,0)</f>
        <v/>
      </c>
      <c r="F15" s="311">
        <f>'Current Effort - Development'!$E15*1.5</f>
        <v/>
      </c>
      <c r="G15" s="169" t="n"/>
      <c r="H15" s="169" t="n"/>
      <c r="I15" s="169" t="n"/>
      <c r="J15" s="170" t="n"/>
      <c r="K15" s="169" t="n"/>
      <c r="L15" s="169" t="n"/>
      <c r="M15" s="170" t="n"/>
      <c r="N15" s="169" t="n"/>
      <c r="O15" s="169" t="n"/>
      <c r="P15" s="170" t="n"/>
      <c r="Q15" s="169" t="n"/>
      <c r="R15" s="169" t="n"/>
      <c r="S15" s="170" t="n"/>
      <c r="T15" s="169" t="n"/>
      <c r="U15" s="169" t="n"/>
      <c r="V15" s="170" t="n"/>
      <c r="W15" s="169" t="n"/>
      <c r="X15" s="169" t="n"/>
      <c r="Y15" s="170" t="n"/>
      <c r="Z15" s="169" t="n"/>
      <c r="AA15" s="169" t="n"/>
      <c r="AB15" s="170" t="n"/>
      <c r="AC15" s="169" t="n"/>
      <c r="AD15" s="169" t="n"/>
      <c r="AE15" s="170" t="n"/>
      <c r="AF15" s="169" t="n"/>
      <c r="AG15" s="169" t="n"/>
      <c r="AH15" s="170" t="n"/>
      <c r="AI15" s="169" t="n"/>
      <c r="AJ15" s="169" t="n"/>
      <c r="AK15" s="168" t="n"/>
      <c r="AL15" s="167" t="n"/>
      <c r="AM15" s="167" t="n"/>
      <c r="AN15" s="312">
        <f>SUM(G15:H15,J15:K15,M15:N15,P15:Q15,S15:T15,V15:W15,Y15:Z15,AB15:AC15,AE15:AF15,AE15:AF15,AH15:AI15,AK15:AL15)*E15+SUM(I15,L15,O15,R15,U15,X15,AA15,AD15,AG15,AJ15,AM15)*F15</f>
        <v/>
      </c>
      <c r="AO15" s="310">
        <f>((G15+I15+J15+L15+M15+O15+P15+R15+S15+U15+V15+X15+Y15+AA15+AB15+AD15+AE15+AG15+AH15+AJ15+AK15+AM15)/8)+((H15+K15+N15+Q15+T15+W15+Z15+AC15+AF15+AI15+AL15)/6)</f>
        <v/>
      </c>
    </row>
    <row r="16" ht="14.45" customHeight="1">
      <c r="A16" t="n">
        <v>11</v>
      </c>
      <c r="B16" s="131" t="inlineStr">
        <is>
          <t>Mostafa Bekhet</t>
        </is>
      </c>
      <c r="C16" s="131" t="n"/>
      <c r="D16" s="212" t="inlineStr">
        <is>
          <t>EGY - Lead Software Engineer - onsite</t>
        </is>
      </c>
      <c r="E16" s="310">
        <f>VLOOKUP(D:D,Positions2024!A:B,2,0)</f>
        <v/>
      </c>
      <c r="F16" s="311">
        <f>'Current Effort - Development'!$E16*1.5</f>
        <v/>
      </c>
      <c r="G16" s="167" t="n">
        <v>10</v>
      </c>
      <c r="H16" s="167" t="n"/>
      <c r="I16" s="167" t="n"/>
      <c r="J16" s="168" t="n">
        <v>32</v>
      </c>
      <c r="K16" s="167" t="n"/>
      <c r="L16" s="167" t="n"/>
      <c r="M16" s="168" t="n"/>
      <c r="N16" s="167" t="n"/>
      <c r="O16" s="167" t="n"/>
      <c r="P16" s="168" t="n"/>
      <c r="Q16" s="167" t="n"/>
      <c r="R16" s="167" t="n"/>
      <c r="S16" s="168" t="n"/>
      <c r="T16" s="167" t="n"/>
      <c r="U16" s="167" t="n"/>
      <c r="V16" s="168" t="n"/>
      <c r="W16" s="167" t="n"/>
      <c r="X16" s="167" t="n"/>
      <c r="Y16" s="168" t="n"/>
      <c r="Z16" s="167" t="n"/>
      <c r="AA16" s="167" t="n"/>
      <c r="AB16" s="168" t="n"/>
      <c r="AC16" s="167" t="n"/>
      <c r="AD16" s="167" t="n"/>
      <c r="AE16" s="168" t="n"/>
      <c r="AF16" s="167" t="n"/>
      <c r="AG16" s="167" t="n"/>
      <c r="AH16" s="168" t="n"/>
      <c r="AI16" s="167" t="n"/>
      <c r="AJ16" s="167" t="n"/>
      <c r="AK16" s="168" t="n"/>
      <c r="AL16" s="167" t="n"/>
      <c r="AM16" s="167" t="n"/>
      <c r="AN16" s="312">
        <f>SUM(G16:H16,J16:K16,M16:N16,P16:Q16,S16:T16,V16:W16,Y16:Z16,AB16:AC16,AE16:AF16,AE16:AF16,AH16:AI16,AK16:AL16)*E16+SUM(I16,L16,O16,R16,U16,X16,AA16,AD16,AG16,AJ16,AM16)*F16</f>
        <v/>
      </c>
      <c r="AO16" s="310">
        <f>((G16+I16+J16+L16+M16+O16+P16+R16+S16+U16+V16+X16+Y16+AA16+AB16+AD16+AE16+AG16+AH16+AJ16+AK16+AM16)/8)+((H16+K16+N16+Q16+T16+W16+Z16+AC16+AF16+AI16+AL16)/6)</f>
        <v/>
      </c>
    </row>
    <row r="17" ht="14.45" customHeight="1">
      <c r="A17" t="n">
        <v>12</v>
      </c>
      <c r="B17" s="213" t="inlineStr">
        <is>
          <t>Mustafa Mokhtar</t>
        </is>
      </c>
      <c r="C17" s="207" t="n"/>
      <c r="D17" s="212" t="inlineStr">
        <is>
          <t>EGY - Sr Business Analyst - onsite</t>
        </is>
      </c>
      <c r="E17" s="310">
        <f>VLOOKUP(D:D,Positions2024!A:B,2,0)</f>
        <v/>
      </c>
      <c r="F17" s="311">
        <f>'Current Effort - Development'!$E17*1.5</f>
        <v/>
      </c>
      <c r="G17" s="169" t="n"/>
      <c r="H17" s="169" t="n">
        <v>12</v>
      </c>
      <c r="I17" s="169" t="n"/>
      <c r="J17" s="170" t="n"/>
      <c r="K17" s="169" t="n"/>
      <c r="L17" s="169" t="n"/>
      <c r="M17" s="170" t="n"/>
      <c r="N17" s="169" t="n"/>
      <c r="O17" s="169" t="n"/>
      <c r="P17" s="170" t="n"/>
      <c r="Q17" s="169" t="n"/>
      <c r="R17" s="169" t="n"/>
      <c r="S17" s="170" t="n"/>
      <c r="T17" s="169" t="n"/>
      <c r="U17" s="169" t="n"/>
      <c r="V17" s="170" t="n"/>
      <c r="W17" s="169" t="n"/>
      <c r="X17" s="169" t="n"/>
      <c r="Y17" s="170" t="n"/>
      <c r="Z17" s="169" t="n"/>
      <c r="AA17" s="169" t="n"/>
      <c r="AB17" s="170" t="n"/>
      <c r="AC17" s="169" t="n"/>
      <c r="AD17" s="169" t="n"/>
      <c r="AE17" s="170" t="n"/>
      <c r="AF17" s="169" t="n"/>
      <c r="AG17" s="169" t="n"/>
      <c r="AH17" s="170" t="n"/>
      <c r="AI17" s="169" t="n"/>
      <c r="AJ17" s="169" t="n"/>
      <c r="AK17" s="170" t="n"/>
      <c r="AL17" s="169" t="n"/>
      <c r="AM17" s="169" t="n"/>
      <c r="AN17" s="312">
        <f>SUM(G17:H17,J17:K17,M17:N17,P17:Q17,S17:T17,V17:W17,Y17:Z17,AB17:AC17,AE17:AF17,AE17:AF17,AH17:AI17,AK17:AL17)*E17+SUM(I17,L17,O17,R17,U17,X17,AA17,AD17,AG17,AJ17,AM17)*F17</f>
        <v/>
      </c>
      <c r="AO17" s="310">
        <f>((G17+I17+J17+L17+M17+O17+P17+R17+S17+U17+V17+X17+Y17+AA17+AB17+AD17+AE17+AG17+AH17+AJ17+AK17+AM17)/8)+((H17+K17+N17+Q17+T17+W17+Z17+AC17+AF17+AI17+AL17)/6)</f>
        <v/>
      </c>
    </row>
    <row r="18" ht="14.45" customHeight="1">
      <c r="A18" t="n">
        <v>13</v>
      </c>
      <c r="B18" s="131" t="inlineStr">
        <is>
          <t>Sandra Lateef Nashed Awad</t>
        </is>
      </c>
      <c r="C18" s="131" t="n"/>
      <c r="D18" s="211" t="inlineStr">
        <is>
          <t>EGY - Sr Business Analyst</t>
        </is>
      </c>
      <c r="E18" s="310">
        <f>VLOOKUP(D:D,Positions2024!A:B,2,0)</f>
        <v/>
      </c>
      <c r="F18" s="311">
        <f>'Current Effort - Development'!$E18*1.5</f>
        <v/>
      </c>
      <c r="G18" s="167" t="n"/>
      <c r="H18" s="167" t="n"/>
      <c r="I18" s="167" t="n"/>
      <c r="J18" s="168" t="n">
        <v>67</v>
      </c>
      <c r="K18" s="167" t="n"/>
      <c r="L18" s="167" t="n"/>
      <c r="M18" s="168" t="n"/>
      <c r="N18" s="167" t="n"/>
      <c r="O18" s="167" t="n"/>
      <c r="P18" s="168" t="n"/>
      <c r="Q18" s="167" t="n"/>
      <c r="R18" s="167" t="n"/>
      <c r="S18" s="168" t="n"/>
      <c r="T18" s="167" t="n"/>
      <c r="U18" s="167" t="n"/>
      <c r="V18" s="168" t="n"/>
      <c r="W18" s="167" t="n"/>
      <c r="X18" s="167" t="n"/>
      <c r="Y18" s="168" t="n"/>
      <c r="Z18" s="167" t="n"/>
      <c r="AA18" s="167" t="n"/>
      <c r="AB18" s="168" t="n"/>
      <c r="AC18" s="167" t="n"/>
      <c r="AD18" s="167" t="n"/>
      <c r="AE18" s="168" t="n"/>
      <c r="AF18" s="167" t="n"/>
      <c r="AG18" s="167" t="n"/>
      <c r="AH18" s="168" t="n"/>
      <c r="AI18" s="167" t="n"/>
      <c r="AJ18" s="167" t="n"/>
      <c r="AK18" s="168" t="n"/>
      <c r="AL18" s="167" t="n"/>
      <c r="AM18" s="167" t="n"/>
      <c r="AN18" s="312">
        <f>SUM(G18:H18,J18:K18,M18:N18,P18:Q18,S18:T18,V18:W18,Y18:Z18,AB18:AC18,AE18:AF18,AE18:AF18,AH18:AI18,AK18:AL18)*E18+SUM(I18,L18,O18,R18,U18,X18,AA18,AD18,AG18,AJ18,AM18)*F18</f>
        <v/>
      </c>
      <c r="AO18" s="310">
        <f>((G18+I18+J18+L18+M18+O18+P18+R18+S18+U18+V18+X18+Y18+AA18+AB18+AD18+AE18+AG18+AH18+AJ18+AK18+AM18)/8)+((H18+K18+N18+Q18+T18+W18+Z18+AC18+AF18+AI18+AL18)/6)</f>
        <v/>
      </c>
    </row>
    <row r="19" ht="17.25" customHeight="1">
      <c r="D19" s="4" t="n"/>
      <c r="E19" s="313" t="n"/>
      <c r="F19" s="313" t="n"/>
      <c r="G19" s="176" t="n"/>
      <c r="H19" s="177" t="n"/>
      <c r="I19" s="214">
        <f>(SUM(G6:G18)+SUM(I6:I18))/8+SUM(H6:H18)/6</f>
        <v/>
      </c>
      <c r="J19" s="214" t="n"/>
      <c r="K19" s="214" t="n"/>
      <c r="L19" s="214">
        <f>(SUM(J6:J18)+SUM(L6:L18))/8+SUM(K6:K18)/6</f>
        <v/>
      </c>
      <c r="M19" s="180" t="n"/>
      <c r="N19" s="180" t="n"/>
      <c r="O19" s="178" t="n"/>
      <c r="P19" s="176" t="n"/>
      <c r="Q19" s="176" t="n"/>
      <c r="R19" s="178" t="n"/>
      <c r="S19" s="176" t="n"/>
      <c r="T19" s="176" t="n"/>
      <c r="U19" s="178" t="n"/>
      <c r="V19" s="176" t="n"/>
      <c r="W19" s="176" t="n"/>
      <c r="X19" s="178" t="n"/>
      <c r="Y19" s="176" t="n"/>
      <c r="Z19" s="176" t="n"/>
      <c r="AA19" s="178" t="n"/>
      <c r="AB19" s="176" t="n"/>
      <c r="AC19" s="176" t="n"/>
      <c r="AD19" s="178" t="n"/>
      <c r="AE19" s="176" t="n"/>
      <c r="AF19" s="176" t="n"/>
      <c r="AG19" s="178" t="n"/>
      <c r="AH19" s="178" t="n"/>
      <c r="AI19" s="178" t="n"/>
      <c r="AJ19" s="178" t="n"/>
      <c r="AK19" s="210" t="n"/>
      <c r="AL19" s="210" t="n"/>
      <c r="AM19" s="210" t="n"/>
      <c r="AN19" s="314">
        <f>SUM(AN6:AN18)</f>
        <v/>
      </c>
      <c r="AO19" s="314">
        <f>SUM(AO6:AO18)</f>
        <v/>
      </c>
    </row>
    <row r="20" ht="14.45" customHeight="1">
      <c r="D20" s="4">
        <f>214+620</f>
        <v/>
      </c>
      <c r="E20" s="313" t="n"/>
      <c r="F20" s="73" t="n"/>
      <c r="G20" s="73" t="n"/>
      <c r="H20" s="73" t="n"/>
      <c r="I20" s="73" t="n"/>
      <c r="J20" s="73" t="n"/>
      <c r="K20" s="24" t="n"/>
      <c r="L20" s="24" t="n"/>
      <c r="M20" s="313" t="n"/>
      <c r="N20" s="57" t="n"/>
    </row>
    <row r="21" ht="14.45" customHeight="1">
      <c r="D21" s="4" t="n"/>
      <c r="E21" s="313" t="n"/>
      <c r="F21" s="73" t="n"/>
      <c r="G21" s="73" t="n"/>
      <c r="H21" s="73" t="n"/>
      <c r="I21" s="73" t="n"/>
      <c r="J21" s="73" t="n"/>
      <c r="K21" s="24" t="n"/>
      <c r="L21" s="24" t="n"/>
      <c r="M21" s="313" t="n"/>
      <c r="N21" s="57" t="n"/>
    </row>
    <row r="22" ht="14.1" customHeight="1">
      <c r="F22" s="39" t="inlineStr">
        <is>
          <t>Total Cost in SAR</t>
        </is>
      </c>
      <c r="G22" s="39" t="n"/>
      <c r="H22" s="40" t="n"/>
      <c r="I22" s="40" t="n"/>
      <c r="J22" s="40" t="n"/>
      <c r="K22" s="40" t="n"/>
      <c r="L22" s="40" t="n"/>
      <c r="M22" s="40" t="n"/>
      <c r="N22" s="315">
        <f>AN19*3.75</f>
        <v/>
      </c>
      <c r="P22" s="316" t="n"/>
    </row>
    <row r="23" ht="14.1" customHeight="1">
      <c r="F23" s="39" t="inlineStr">
        <is>
          <t xml:space="preserve">Average Cost per MD </t>
        </is>
      </c>
      <c r="G23" s="39" t="n"/>
      <c r="H23" s="40" t="n"/>
      <c r="I23" s="40" t="n"/>
      <c r="J23" s="40" t="n"/>
      <c r="K23" s="40" t="n"/>
      <c r="L23" s="40" t="n"/>
      <c r="M23" s="40" t="n"/>
      <c r="N23" s="315">
        <f>N22/AO19</f>
        <v/>
      </c>
      <c r="O23" s="296" t="n"/>
      <c r="P23" s="37" t="n"/>
    </row>
    <row r="25" ht="14.1" customHeight="1"/>
    <row r="26" ht="14.1" customHeight="1">
      <c r="C26" s="131" t="n"/>
    </row>
    <row r="27" ht="14.45" customHeight="1">
      <c r="C27" s="207" t="n"/>
    </row>
    <row r="28" ht="14.1" customHeight="1">
      <c r="C28" s="131" t="n"/>
      <c r="N28" s="296" t="n"/>
    </row>
    <row r="29" ht="14.45" customHeight="1">
      <c r="C29" s="207" t="n"/>
    </row>
    <row r="30" ht="14.45" customHeight="1">
      <c r="C30" s="207" t="n"/>
    </row>
    <row r="31" ht="14.1" customHeight="1">
      <c r="C31" s="131" t="n"/>
    </row>
    <row r="32" ht="14.45" customHeight="1">
      <c r="C32" s="207" t="n"/>
    </row>
    <row r="33" ht="14.1" customHeight="1">
      <c r="C33" s="131" t="n"/>
    </row>
    <row r="34" ht="14.1" customHeight="1">
      <c r="M34" s="37" t="n"/>
    </row>
    <row r="35" ht="14.45" customHeight="1">
      <c r="C35" s="207" t="n"/>
      <c r="M35" s="37" t="n"/>
    </row>
    <row r="36" ht="14.1" customHeight="1">
      <c r="M36" s="37" t="n"/>
      <c r="N36" s="37" t="n"/>
    </row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</sheetData>
  <mergeCells count="12">
    <mergeCell ref="B1:D1"/>
    <mergeCell ref="M4:O4"/>
    <mergeCell ref="S4:U4"/>
    <mergeCell ref="AK4:AM4"/>
    <mergeCell ref="G4:I4"/>
    <mergeCell ref="V4:X4"/>
    <mergeCell ref="J4:L4"/>
    <mergeCell ref="Y4:AA4"/>
    <mergeCell ref="AB4:AD4"/>
    <mergeCell ref="P4:R4"/>
    <mergeCell ref="AH4:AJ4"/>
    <mergeCell ref="AE4:AG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topLeftCell="A26" zoomScale="69" zoomScaleNormal="100" workbookViewId="0">
      <selection activeCell="V46" sqref="V46"/>
    </sheetView>
  </sheetViews>
  <sheetFormatPr baseColWidth="8" defaultColWidth="9.125" defaultRowHeight="15" customHeight="1"/>
  <cols>
    <col width="32.125" customWidth="1" min="2" max="2"/>
    <col width="3.875" customWidth="1" min="3" max="3"/>
    <col width="29.125" customWidth="1" min="4" max="4"/>
    <col width="16.375" customWidth="1" min="5" max="6"/>
    <col width="15.375" customWidth="1" min="7" max="11"/>
    <col width="28.375" customWidth="1" min="12" max="12"/>
    <col width="15.375" customWidth="1" min="13" max="13"/>
    <col width="18" customWidth="1" min="14" max="14"/>
    <col width="15.375" customWidth="1" min="15" max="31"/>
    <col width="16.125" customWidth="1" min="32" max="32"/>
    <col width="15.375" customWidth="1" min="33" max="42"/>
    <col width="19" customWidth="1" min="43" max="43"/>
    <col width="16.375" customWidth="1" min="44" max="44"/>
  </cols>
  <sheetData>
    <row r="1" ht="15.6" customHeight="1">
      <c r="B1" s="272" t="inlineStr">
        <is>
          <t>Fill in Yellow Cells with current Team Effort</t>
        </is>
      </c>
    </row>
    <row r="4" ht="18" customHeight="1">
      <c r="D4" s="163" t="n"/>
      <c r="E4" s="163" t="n"/>
      <c r="G4" s="273" t="inlineStr">
        <is>
          <t>May</t>
        </is>
      </c>
      <c r="J4" s="271" t="inlineStr">
        <is>
          <t>June</t>
        </is>
      </c>
      <c r="M4" s="271" t="inlineStr">
        <is>
          <t>July</t>
        </is>
      </c>
      <c r="P4" s="271" t="inlineStr">
        <is>
          <t>Augast</t>
        </is>
      </c>
      <c r="S4" s="271" t="n"/>
      <c r="T4" s="271" t="inlineStr">
        <is>
          <t>September</t>
        </is>
      </c>
      <c r="U4" s="271" t="n"/>
      <c r="V4" s="271" t="n"/>
      <c r="W4" s="271" t="inlineStr">
        <is>
          <t>October</t>
        </is>
      </c>
      <c r="X4" s="271" t="n"/>
      <c r="Y4" s="271" t="n"/>
      <c r="Z4" s="271" t="inlineStr">
        <is>
          <t>November</t>
        </is>
      </c>
      <c r="AA4" s="271" t="n"/>
      <c r="AB4" s="271" t="n"/>
      <c r="AC4" s="271" t="inlineStr">
        <is>
          <t>December</t>
        </is>
      </c>
      <c r="AD4" s="271" t="n"/>
      <c r="AE4" s="271" t="n"/>
      <c r="AF4" s="271" t="inlineStr">
        <is>
          <t>January</t>
        </is>
      </c>
      <c r="AG4" s="271" t="n"/>
      <c r="AH4" s="271" t="n"/>
      <c r="AI4" s="271" t="inlineStr">
        <is>
          <t>February</t>
        </is>
      </c>
      <c r="AJ4" s="271" t="n"/>
      <c r="AK4" s="271" t="n"/>
      <c r="AL4" s="271" t="inlineStr">
        <is>
          <t>March</t>
        </is>
      </c>
      <c r="AM4" s="271" t="n"/>
      <c r="AN4" s="271" t="n"/>
      <c r="AO4" s="271" t="inlineStr">
        <is>
          <t>April</t>
        </is>
      </c>
      <c r="AP4" s="271" t="n"/>
    </row>
    <row r="5" ht="30" customFormat="1" customHeight="1" s="134">
      <c r="A5" s="173" t="inlineStr">
        <is>
          <t>#</t>
        </is>
      </c>
      <c r="B5" s="173" t="inlineStr">
        <is>
          <t>Name</t>
        </is>
      </c>
      <c r="C5" s="173" t="n"/>
      <c r="D5" s="173" t="inlineStr">
        <is>
          <t>Position</t>
        </is>
      </c>
      <c r="E5" s="172" t="inlineStr">
        <is>
          <t>Hour Rate ($)</t>
        </is>
      </c>
      <c r="F5" s="172" t="inlineStr">
        <is>
          <t>Overtime Rate</t>
        </is>
      </c>
      <c r="G5" s="174" t="inlineStr">
        <is>
          <t>Regular Time (MH)</t>
        </is>
      </c>
      <c r="H5" s="174" t="inlineStr">
        <is>
          <t>Ramdan Hours</t>
        </is>
      </c>
      <c r="I5" s="174" t="inlineStr">
        <is>
          <t>Over Time (MH)</t>
        </is>
      </c>
      <c r="J5" s="174" t="inlineStr">
        <is>
          <t>Regular Time (MH)</t>
        </is>
      </c>
      <c r="K5" s="174" t="inlineStr">
        <is>
          <t>Ramdan Hours</t>
        </is>
      </c>
      <c r="L5" s="174" t="inlineStr">
        <is>
          <t>Over Time (MH)</t>
        </is>
      </c>
      <c r="M5" s="174" t="inlineStr">
        <is>
          <t>Regular Time (MH)</t>
        </is>
      </c>
      <c r="N5" s="174" t="inlineStr">
        <is>
          <t>Ramdan Hours</t>
        </is>
      </c>
      <c r="O5" s="174" t="inlineStr">
        <is>
          <t>Over Time (MH)</t>
        </is>
      </c>
      <c r="P5" s="174" t="inlineStr">
        <is>
          <t>Regular Time (MH)</t>
        </is>
      </c>
      <c r="Q5" s="174" t="inlineStr">
        <is>
          <t>Ramdan Hours</t>
        </is>
      </c>
      <c r="R5" s="174" t="inlineStr">
        <is>
          <t>Over Time (MH)</t>
        </is>
      </c>
      <c r="S5" s="174" t="inlineStr">
        <is>
          <t>Regular Time (MH)</t>
        </is>
      </c>
      <c r="T5" s="174" t="inlineStr">
        <is>
          <t>Ramdan Hours</t>
        </is>
      </c>
      <c r="U5" s="174" t="inlineStr">
        <is>
          <t>Over Time (MH)</t>
        </is>
      </c>
      <c r="V5" s="174" t="inlineStr">
        <is>
          <t>Regular Time (MH)</t>
        </is>
      </c>
      <c r="W5" s="174" t="inlineStr">
        <is>
          <t>Ramdan Hours</t>
        </is>
      </c>
      <c r="X5" s="174" t="inlineStr">
        <is>
          <t>Over Time (MH)</t>
        </is>
      </c>
      <c r="Y5" s="174" t="inlineStr">
        <is>
          <t>Regular Time (MH)</t>
        </is>
      </c>
      <c r="Z5" s="174" t="inlineStr">
        <is>
          <t>Ramdan Hours</t>
        </is>
      </c>
      <c r="AA5" s="174" t="inlineStr">
        <is>
          <t>Over Time (MH)</t>
        </is>
      </c>
      <c r="AB5" s="174" t="inlineStr">
        <is>
          <t>Regular Time (MH)</t>
        </is>
      </c>
      <c r="AC5" s="174" t="inlineStr">
        <is>
          <t>Ramdan Hours</t>
        </is>
      </c>
      <c r="AD5" s="174" t="inlineStr">
        <is>
          <t>Over Time (MH)</t>
        </is>
      </c>
      <c r="AE5" s="174" t="inlineStr">
        <is>
          <t>Regular Time (MH)</t>
        </is>
      </c>
      <c r="AF5" s="174" t="inlineStr">
        <is>
          <t>Ramdan Hours</t>
        </is>
      </c>
      <c r="AG5" s="174" t="inlineStr">
        <is>
          <t>Over Time (MH)</t>
        </is>
      </c>
      <c r="AH5" s="174" t="inlineStr">
        <is>
          <t>Regular Time (MH)</t>
        </is>
      </c>
      <c r="AI5" s="174" t="inlineStr">
        <is>
          <t>Ramdan Hours</t>
        </is>
      </c>
      <c r="AJ5" s="174" t="inlineStr">
        <is>
          <t>Over Time (MH)</t>
        </is>
      </c>
      <c r="AK5" s="174" t="inlineStr">
        <is>
          <t>Regular Time (MH)</t>
        </is>
      </c>
      <c r="AL5" s="174" t="inlineStr">
        <is>
          <t>Ramdan Hours</t>
        </is>
      </c>
      <c r="AM5" s="174" t="inlineStr">
        <is>
          <t>Over Time (MH)</t>
        </is>
      </c>
      <c r="AN5" s="174" t="inlineStr">
        <is>
          <t>Regular Time (MH)</t>
        </is>
      </c>
      <c r="AO5" s="174" t="inlineStr">
        <is>
          <t>Ramdan Hours</t>
        </is>
      </c>
      <c r="AP5" s="174" t="inlineStr">
        <is>
          <t>Over Time (MH)</t>
        </is>
      </c>
      <c r="AQ5" s="172" t="inlineStr">
        <is>
          <t>Total Cost</t>
        </is>
      </c>
      <c r="AR5" s="172" t="inlineStr">
        <is>
          <t>Current MDs done</t>
        </is>
      </c>
    </row>
    <row r="6" ht="14.45" customHeight="1">
      <c r="A6" t="n">
        <v>1</v>
      </c>
      <c r="B6" s="131" t="inlineStr">
        <is>
          <t>Abdelrhman Doghish</t>
        </is>
      </c>
      <c r="C6" s="131" t="n"/>
      <c r="D6" s="211" t="inlineStr">
        <is>
          <t>KSA - Project Manager</t>
        </is>
      </c>
      <c r="E6" s="310">
        <f>VLOOKUP(D:D,Positions2024!A:B,2,0)</f>
        <v/>
      </c>
      <c r="F6" s="311">
        <f>'Current Effort - Consultation'!$E6*1.5</f>
        <v/>
      </c>
      <c r="G6" s="167" t="n"/>
      <c r="H6" s="167" t="n"/>
      <c r="I6" s="167" t="n"/>
      <c r="J6" s="168" t="n">
        <v>56</v>
      </c>
      <c r="K6" s="167" t="n"/>
      <c r="L6" s="167" t="n"/>
      <c r="M6" s="168" t="n">
        <v>96</v>
      </c>
      <c r="N6" s="167" t="n"/>
      <c r="O6" s="167" t="n"/>
      <c r="P6" s="168" t="n">
        <v>128</v>
      </c>
      <c r="Q6" s="167" t="n"/>
      <c r="R6" s="167" t="n"/>
      <c r="S6" s="168" t="n">
        <v>168</v>
      </c>
      <c r="T6" s="167" t="n"/>
      <c r="U6" s="167" t="n"/>
      <c r="V6" s="168" t="n">
        <v>168</v>
      </c>
      <c r="W6" s="167" t="n"/>
      <c r="X6" s="167" t="n"/>
      <c r="Y6" s="168">
        <f>160+8</f>
        <v/>
      </c>
      <c r="Z6" s="167" t="n"/>
      <c r="AA6" s="167" t="n"/>
      <c r="AB6" s="168" t="n">
        <v>136</v>
      </c>
      <c r="AC6" s="167" t="n"/>
      <c r="AD6" s="167" t="n"/>
      <c r="AE6" s="168" t="n">
        <v>128</v>
      </c>
      <c r="AF6" s="167" t="n"/>
      <c r="AG6" s="167" t="n"/>
      <c r="AH6" s="168" t="n">
        <v>104</v>
      </c>
      <c r="AI6" s="167" t="n">
        <v>36</v>
      </c>
      <c r="AJ6" s="167" t="n"/>
      <c r="AK6" s="168">
        <f>8*4</f>
        <v/>
      </c>
      <c r="AL6" s="167" t="n">
        <v>84</v>
      </c>
      <c r="AM6" s="167" t="n"/>
      <c r="AN6" s="168" t="n">
        <v>80</v>
      </c>
      <c r="AO6" s="167" t="n"/>
      <c r="AP6" s="167" t="n"/>
      <c r="AQ6" s="312">
        <f>SUM(G6:H6,J6:K6,M6:N6,P6:Q6,S6:T6,V6:W6,Y6:Z6,AB6:AC6,AE6:AF6,AE6:AF6,AH6:AI6,AK6:AL6,AN6:AO6)*E6+SUM(I6,L6,O6,R6,U6,X6,AA6,AD6,AG6,AJ6,AM6,AP6)*F6</f>
        <v/>
      </c>
      <c r="AR6" s="310">
        <f>((G6+I6+J6+L6+M6+O6+P6+R6+S6+U6+V6+X6+Y6+AA6+AB6+AD6+AE6+AG6+AH6+AJ6+AK6+AM6+AN6+AP6)/8)+((H6+K6+N6+Q6+T6+W6+Z6+AC6+AF6+AI6+AL6+AO6)/6)</f>
        <v/>
      </c>
    </row>
    <row r="7" ht="14.45" customHeight="1">
      <c r="A7" t="n">
        <v>2</v>
      </c>
      <c r="B7" s="213" t="inlineStr">
        <is>
          <t>Talal Abdulwahed</t>
        </is>
      </c>
      <c r="C7" s="207" t="n"/>
      <c r="D7" s="212" t="inlineStr">
        <is>
          <t>KSA - Solution Architect / Manager</t>
        </is>
      </c>
      <c r="E7" s="310">
        <f>VLOOKUP(D:D,Positions2024!A:B,2,0)</f>
        <v/>
      </c>
      <c r="F7" s="311">
        <f>'Current Effort - Consultation'!$E7*1.5</f>
        <v/>
      </c>
      <c r="G7" s="169" t="n"/>
      <c r="H7" s="169" t="n"/>
      <c r="I7" s="169" t="n"/>
      <c r="J7" s="170" t="n">
        <v>56</v>
      </c>
      <c r="K7" s="169" t="n"/>
      <c r="L7" s="169" t="n"/>
      <c r="M7" s="170" t="n">
        <v>152</v>
      </c>
      <c r="N7" s="169" t="n"/>
      <c r="O7" s="169" t="n"/>
      <c r="P7" s="170" t="n">
        <v>160</v>
      </c>
      <c r="Q7" s="169" t="n"/>
      <c r="R7" s="169" t="n"/>
      <c r="S7" s="170" t="n">
        <v>160</v>
      </c>
      <c r="T7" s="169" t="n"/>
      <c r="U7" s="169" t="n"/>
      <c r="V7" s="170" t="n">
        <v>160</v>
      </c>
      <c r="W7" s="169" t="n"/>
      <c r="X7" s="169" t="n"/>
      <c r="Y7" s="170">
        <f>160+8</f>
        <v/>
      </c>
      <c r="Z7" s="169" t="n"/>
      <c r="AA7" s="169" t="n"/>
      <c r="AB7" s="170" t="n">
        <v>136</v>
      </c>
      <c r="AC7" s="169" t="n"/>
      <c r="AD7" s="169" t="n"/>
      <c r="AE7" s="170" t="n">
        <v>168</v>
      </c>
      <c r="AF7" s="169" t="n"/>
      <c r="AG7" s="169" t="n"/>
      <c r="AH7" s="170" t="n">
        <v>104</v>
      </c>
      <c r="AI7" s="169" t="n">
        <v>36</v>
      </c>
      <c r="AJ7" s="169" t="n"/>
      <c r="AK7" s="170" t="n">
        <v>40</v>
      </c>
      <c r="AL7" s="169" t="n">
        <v>94.5</v>
      </c>
      <c r="AM7" s="169" t="n"/>
      <c r="AN7" s="170" t="n">
        <v>149</v>
      </c>
      <c r="AO7" s="169" t="n"/>
      <c r="AP7" s="169" t="n"/>
      <c r="AQ7" s="312">
        <f>SUM(G7:H7,J7:K7,M7:N7,P7:Q7,S7:T7,V7:W7,Y7:Z7,AB7:AC7,AE7:AF7,AE7:AF7,AH7:AI7,AK7:AL7,AN7:AO7)*E7+SUM(I7,L7,O7,R7,U7,X7,AA7,AD7,AG7,AJ7,AM7,AP7)*F7</f>
        <v/>
      </c>
      <c r="AR7" s="310">
        <f>((G7+I7+J7+L7+M7+O7+P7+R7+S7+U7+V7+X7+Y7+AA7+AB7+AD7+AE7+AG7+AH7+AJ7+AK7+AM7+AN7+AP7)/8)+((H7+K7+N7+Q7+T7+W7+Z7+AC7+AF7+AI7+AL7+AO7)/6)</f>
        <v/>
      </c>
    </row>
    <row r="8" ht="14.45" customHeight="1">
      <c r="A8" t="n">
        <v>3</v>
      </c>
      <c r="B8" s="131" t="inlineStr">
        <is>
          <t>Abeer AbdelHameed</t>
        </is>
      </c>
      <c r="C8" s="131" t="n"/>
      <c r="D8" s="211" t="inlineStr">
        <is>
          <t>EGY - Business Analyst - onsite</t>
        </is>
      </c>
      <c r="E8" s="310">
        <f>VLOOKUP(D:D,Positions2024!A:B,2,0)</f>
        <v/>
      </c>
      <c r="F8" s="311">
        <f>'Current Effort - Consultation'!$E8*1.5</f>
        <v/>
      </c>
      <c r="G8" s="167" t="n"/>
      <c r="H8" s="167" t="n"/>
      <c r="I8" s="167" t="n"/>
      <c r="J8" s="168" t="n">
        <v>52</v>
      </c>
      <c r="K8" s="167" t="n"/>
      <c r="L8" s="167" t="n">
        <v>8</v>
      </c>
      <c r="M8" s="168" t="n">
        <v>168</v>
      </c>
      <c r="N8" s="167" t="n"/>
      <c r="O8" s="167" t="n">
        <v>16</v>
      </c>
      <c r="P8" s="168" t="n">
        <v>167</v>
      </c>
      <c r="Q8" s="167" t="n"/>
      <c r="R8" s="167" t="n"/>
      <c r="S8" s="168" t="n">
        <v>144</v>
      </c>
      <c r="T8" s="167" t="n"/>
      <c r="U8" s="167" t="n"/>
      <c r="V8" s="168">
        <f>159-X8</f>
        <v/>
      </c>
      <c r="W8" s="167" t="n"/>
      <c r="X8" s="167" t="n">
        <v>8</v>
      </c>
      <c r="Y8" s="168">
        <f>152+16</f>
        <v/>
      </c>
      <c r="Z8" s="167" t="n"/>
      <c r="AA8" s="167" t="n"/>
      <c r="AB8" s="168">
        <f>167+16</f>
        <v/>
      </c>
      <c r="AC8" s="167" t="n"/>
      <c r="AD8" s="167" t="n"/>
      <c r="AE8" s="168" t="n"/>
      <c r="AF8" s="167" t="n"/>
      <c r="AG8" s="167" t="n"/>
      <c r="AH8" s="168" t="n"/>
      <c r="AI8" s="167" t="n"/>
      <c r="AJ8" s="167" t="n"/>
      <c r="AK8" s="168" t="n"/>
      <c r="AL8" s="167" t="n"/>
      <c r="AM8" s="167" t="n"/>
      <c r="AN8" s="168" t="n"/>
      <c r="AO8" s="167" t="n"/>
      <c r="AP8" s="167" t="n"/>
      <c r="AQ8" s="312">
        <f>SUM(G8:H8,J8:K8,M8:N8,P8:Q8,S8:T8,V8:W8,Y8:Z8,AB8:AC8,AE8:AF8,AE8:AF8,AH8:AI8,AK8:AL8,AN8:AO8)*E8+SUM(I8,L8,O8,R8,U8,X8,AA8,AD8,AG8,AJ8,AM8,AP8)*F8</f>
        <v/>
      </c>
      <c r="AR8" s="310">
        <f>((G8+I8+J8+L8+M8+O8+P8+R8+S8+U8+V8+X8+Y8+AA8+AB8+AD8+AE8+AG8+AH8+AJ8+AK8+AM8+AN8+AP8)/8)+((H8+K8+N8+Q8+T8+W8+Z8+AC8+AF8+AI8+AL8+AO8)/6)</f>
        <v/>
      </c>
    </row>
    <row r="9" ht="14.45" customHeight="1">
      <c r="A9" t="n">
        <v>4</v>
      </c>
      <c r="B9" s="213" t="inlineStr">
        <is>
          <t>Abeer AbdelHameed</t>
        </is>
      </c>
      <c r="C9" s="207" t="n"/>
      <c r="D9" s="212" t="inlineStr">
        <is>
          <t>EGY - Sr Business Analyst - onsite</t>
        </is>
      </c>
      <c r="E9" s="310">
        <f>VLOOKUP(D:D,Positions2024!A:B,2,0)</f>
        <v/>
      </c>
      <c r="F9" s="311">
        <f>'Current Effort - Consultation'!$E9*1.5</f>
        <v/>
      </c>
      <c r="G9" s="169" t="n"/>
      <c r="H9" s="169" t="n"/>
      <c r="I9" s="169" t="n"/>
      <c r="J9" s="170" t="n"/>
      <c r="K9" s="169" t="n"/>
      <c r="L9" s="169" t="n"/>
      <c r="M9" s="170" t="n"/>
      <c r="N9" s="169" t="n"/>
      <c r="O9" s="169" t="n"/>
      <c r="P9" s="170" t="n"/>
      <c r="Q9" s="169" t="n"/>
      <c r="R9" s="169" t="n"/>
      <c r="S9" s="170" t="n"/>
      <c r="T9" s="169" t="n"/>
      <c r="U9" s="169" t="n"/>
      <c r="V9" s="170" t="n"/>
      <c r="W9" s="169" t="n"/>
      <c r="X9" s="169" t="n"/>
      <c r="Y9" s="170" t="n"/>
      <c r="Z9" s="169" t="n"/>
      <c r="AA9" s="169" t="n"/>
      <c r="AB9" s="170" t="n"/>
      <c r="AC9" s="169" t="n"/>
      <c r="AD9" s="169" t="n"/>
      <c r="AE9" s="170">
        <f>129-AG9</f>
        <v/>
      </c>
      <c r="AF9" s="169" t="n"/>
      <c r="AG9" s="169" t="n">
        <v>4</v>
      </c>
      <c r="AH9" s="170" t="n">
        <v>104</v>
      </c>
      <c r="AI9" s="169" t="n">
        <v>36</v>
      </c>
      <c r="AJ9" s="169" t="n"/>
      <c r="AK9" s="170" t="n">
        <v>48</v>
      </c>
      <c r="AL9" s="169">
        <f>92-AM9</f>
        <v/>
      </c>
      <c r="AM9" s="169" t="n">
        <v>16.5</v>
      </c>
      <c r="AN9" s="170">
        <f>138.5-AN10</f>
        <v/>
      </c>
      <c r="AO9" s="169" t="n"/>
      <c r="AP9" s="169" t="n"/>
      <c r="AQ9" s="312">
        <f>SUM(G9:H9,J9:K9,M9:N9,P9:Q9,S9:T9,V9:W9,Y9:Z9,AB9:AC9,AE9:AF9,AE9:AF9,AH9:AI9,AK9:AL9,AN9:AO9)*E9+SUM(I9,L9,O9,R9,U9,X9,AA9,AD9,AG9,AJ9,AM9,AP9)*F9</f>
        <v/>
      </c>
      <c r="AR9" s="310">
        <f>((G9+I9+J9+L9+M9+O9+P9+R9+S9+U9+V9+X9+Y9+AA9+AB9+AD9+AE9+AG9+AH9+AJ9+AK9+AM9+AN9+AP9)/8)+((H9+K9+N9+Q9+T9+W9+Z9+AC9+AF9+AI9+AL9+AO9)/6)</f>
        <v/>
      </c>
    </row>
    <row r="10" ht="14.45" customHeight="1">
      <c r="B10" s="131" t="inlineStr">
        <is>
          <t>Abeer AbdelHameed</t>
        </is>
      </c>
      <c r="C10" s="131" t="n"/>
      <c r="D10" s="211" t="inlineStr">
        <is>
          <t>EGY - Sr Business Analyst</t>
        </is>
      </c>
      <c r="E10" s="310">
        <f>VLOOKUP(D:D,Positions2024!A:B,2,0)</f>
        <v/>
      </c>
      <c r="F10" s="311">
        <f>'Current Effort - Consultation'!$E10*1.5</f>
        <v/>
      </c>
      <c r="G10" s="167" t="n"/>
      <c r="H10" s="167" t="n"/>
      <c r="I10" s="167" t="n"/>
      <c r="J10" s="168" t="n"/>
      <c r="K10" s="167" t="n"/>
      <c r="L10" s="167" t="n"/>
      <c r="M10" s="168" t="n"/>
      <c r="N10" s="167" t="n"/>
      <c r="O10" s="167" t="n"/>
      <c r="P10" s="168" t="n"/>
      <c r="Q10" s="167" t="n"/>
      <c r="R10" s="167" t="n"/>
      <c r="S10" s="168" t="n"/>
      <c r="T10" s="167" t="n"/>
      <c r="U10" s="167" t="n"/>
      <c r="V10" s="168" t="n"/>
      <c r="W10" s="167" t="n"/>
      <c r="X10" s="167" t="n"/>
      <c r="Y10" s="168" t="n"/>
      <c r="Z10" s="167" t="n"/>
      <c r="AA10" s="167" t="n"/>
      <c r="AB10" s="168" t="n"/>
      <c r="AC10" s="167" t="n"/>
      <c r="AD10" s="167" t="n"/>
      <c r="AE10" s="168" t="n"/>
      <c r="AF10" s="167" t="n"/>
      <c r="AG10" s="167" t="n"/>
      <c r="AH10" s="168" t="n"/>
      <c r="AI10" s="167" t="n"/>
      <c r="AJ10" s="167" t="n"/>
      <c r="AK10" s="168" t="n"/>
      <c r="AL10" s="167" t="n"/>
      <c r="AM10" s="167" t="n"/>
      <c r="AN10" s="168">
        <f>138.5-114</f>
        <v/>
      </c>
      <c r="AO10" s="167" t="n"/>
      <c r="AP10" s="167" t="n"/>
      <c r="AQ10" s="312">
        <f>SUM(G10:H10,J10:K10,M10:N10,P10:Q10,S10:T10,V10:W10,Y10:Z10,AB10:AC10,AE10:AF10,AE10:AF10,AH10:AI10,AK10:AL10,AN10:AO10)*E10+SUM(I10,L10,O10,R10,U10,X10,AA10,AD10,AG10,AJ10,AM10,AP10)*F10</f>
        <v/>
      </c>
      <c r="AR10" s="310">
        <f>((G10+I10+J10+L10+M10+O10+P10+R10+S10+U10+V10+X10+Y10+AA10+AB10+AD10+AE10+AG10+AH10+AJ10+AK10+AM10+AN10+AP10)/8)+((H10+K10+N10+Q10+T10+W10+Z10+AC10+AF10+AI10+AL10+AO10)/6)</f>
        <v/>
      </c>
    </row>
    <row r="11" ht="14.45" customHeight="1">
      <c r="A11" t="n">
        <v>5</v>
      </c>
      <c r="B11" s="213" t="inlineStr">
        <is>
          <t xml:space="preserve">Ahmed Araby </t>
        </is>
      </c>
      <c r="C11" s="207" t="n"/>
      <c r="D11" s="212" t="inlineStr">
        <is>
          <t>EGY - Sr UX Designer</t>
        </is>
      </c>
      <c r="E11" s="310">
        <f>VLOOKUP(D:D,Positions2024!A:B,2,0)</f>
        <v/>
      </c>
      <c r="F11" s="311">
        <f>'Current Effort - Consultation'!$E11*1.5</f>
        <v/>
      </c>
      <c r="G11" s="169" t="n"/>
      <c r="H11" s="169" t="n"/>
      <c r="I11" s="169" t="n"/>
      <c r="J11" s="170" t="n"/>
      <c r="K11" s="169" t="n"/>
      <c r="L11" s="169" t="n"/>
      <c r="M11" s="170" t="n"/>
      <c r="N11" s="169" t="n"/>
      <c r="O11" s="169" t="n"/>
      <c r="P11" s="170" t="n"/>
      <c r="Q11" s="169" t="n"/>
      <c r="R11" s="169" t="n"/>
      <c r="S11" s="170" t="n"/>
      <c r="T11" s="169" t="n"/>
      <c r="U11" s="169" t="n"/>
      <c r="V11" s="170" t="n"/>
      <c r="W11" s="169" t="n"/>
      <c r="X11" s="169" t="n"/>
      <c r="Y11" s="170">
        <f>112+24</f>
        <v/>
      </c>
      <c r="Z11" s="169" t="n"/>
      <c r="AA11" s="169" t="n"/>
      <c r="AB11" s="170" t="n"/>
      <c r="AC11" s="169" t="n"/>
      <c r="AD11" s="169" t="n"/>
      <c r="AE11" s="170" t="n"/>
      <c r="AF11" s="169" t="n"/>
      <c r="AG11" s="169" t="n"/>
      <c r="AH11" s="170" t="n"/>
      <c r="AI11" s="169" t="n"/>
      <c r="AJ11" s="169" t="n"/>
      <c r="AK11" s="170" t="n"/>
      <c r="AL11" s="169" t="n"/>
      <c r="AM11" s="169" t="n"/>
      <c r="AN11" s="170" t="n"/>
      <c r="AO11" s="169" t="n"/>
      <c r="AP11" s="169" t="n"/>
      <c r="AQ11" s="312">
        <f>SUM(G11:H11,J11:K11,M11:N11,P11:Q11,S11:T11,V11:W11,Y11:Z11,AB11:AC11,AE11:AF11,AE11:AF11,AH11:AI11,AK11:AL11,AN11:AO11)*E11+SUM(I11,L11,O11,R11,U11,X11,AA11,AD11,AG11,AJ11,AM11,AP11)*F11</f>
        <v/>
      </c>
      <c r="AR11" s="310">
        <f>((G11+I11+J11+L11+M11+O11+P11+R11+S11+U11+V11+X11+Y11+AA11+AB11+AD11+AE11+AG11+AH11+AJ11+AK11+AM11+AN11+AP11)/8)+((H11+K11+N11+Q11+T11+W11+Z11+AC11+AF11+AI11+AL11+AO11)/6)</f>
        <v/>
      </c>
    </row>
    <row r="12" ht="14.45" customHeight="1">
      <c r="A12" t="n">
        <v>6</v>
      </c>
      <c r="B12" s="131" t="inlineStr">
        <is>
          <t xml:space="preserve">Amr Ahmed </t>
        </is>
      </c>
      <c r="C12" s="131" t="n"/>
      <c r="D12" s="211" t="inlineStr">
        <is>
          <t>EGY - Sr UX Designer</t>
        </is>
      </c>
      <c r="E12" s="310">
        <f>VLOOKUP(D:D,Positions2024!A:B,2,0)</f>
        <v/>
      </c>
      <c r="F12" s="311">
        <f>'Current Effort - Consultation'!$E12*1.5</f>
        <v/>
      </c>
      <c r="G12" s="167" t="n"/>
      <c r="H12" s="167" t="n"/>
      <c r="I12" s="167" t="n"/>
      <c r="J12" s="168" t="n"/>
      <c r="K12" s="167" t="n"/>
      <c r="L12" s="167" t="n"/>
      <c r="M12" s="168" t="n"/>
      <c r="N12" s="167" t="n"/>
      <c r="O12" s="167" t="n"/>
      <c r="P12" s="168" t="n"/>
      <c r="Q12" s="167" t="n"/>
      <c r="R12" s="167" t="n"/>
      <c r="S12" s="168" t="n"/>
      <c r="T12" s="167" t="n"/>
      <c r="U12" s="167" t="n"/>
      <c r="V12" s="168" t="n">
        <v>16</v>
      </c>
      <c r="W12" s="167" t="n"/>
      <c r="X12" s="167" t="n"/>
      <c r="Y12" s="168" t="n">
        <v>13</v>
      </c>
      <c r="Z12" s="167" t="n"/>
      <c r="AA12" s="167" t="n"/>
      <c r="AB12" s="168" t="n"/>
      <c r="AC12" s="167" t="n"/>
      <c r="AD12" s="167" t="n"/>
      <c r="AE12" s="168" t="n"/>
      <c r="AF12" s="167" t="n"/>
      <c r="AG12" s="167" t="n"/>
      <c r="AH12" s="168" t="n"/>
      <c r="AI12" s="167" t="n"/>
      <c r="AJ12" s="167" t="n"/>
      <c r="AK12" s="168" t="n"/>
      <c r="AL12" s="167" t="n"/>
      <c r="AM12" s="167" t="n"/>
      <c r="AN12" s="168" t="n"/>
      <c r="AO12" s="167" t="n"/>
      <c r="AP12" s="167" t="n"/>
      <c r="AQ12" s="312">
        <f>SUM(G12:H12,J12:K12,M12:N12,P12:Q12,S12:T12,V12:W12,Y12:Z12,AB12:AC12,AE12:AF12,AE12:AF12,AH12:AI12,AK12:AL12,AN12:AO12)*E12+SUM(I12,L12,O12,R12,U12,X12,AA12,AD12,AG12,AJ12,AM12,AP12)*F12</f>
        <v/>
      </c>
      <c r="AR12" s="310">
        <f>((G12+I12+J12+L12+M12+O12+P12+R12+S12+U12+V12+X12+Y12+AA12+AB12+AD12+AE12+AG12+AH12+AJ12+AK12+AM12+AN12+AP12)/8)+((H12+K12+N12+Q12+T12+W12+Z12+AC12+AF12+AI12+AL12+AO12)/6)</f>
        <v/>
      </c>
    </row>
    <row r="13" ht="14.45" customHeight="1">
      <c r="A13" t="n">
        <v>7</v>
      </c>
      <c r="B13" s="213" t="inlineStr">
        <is>
          <t>Bushra ElGhamdi</t>
        </is>
      </c>
      <c r="C13" s="207" t="n"/>
      <c r="D13" s="212" t="inlineStr">
        <is>
          <t>KSA - Business Analyst</t>
        </is>
      </c>
      <c r="E13" s="310">
        <f>VLOOKUP(D:D,Positions2024!A:B,2,0)</f>
        <v/>
      </c>
      <c r="F13" s="311">
        <f>'Current Effort - Consultation'!$E13*1.5</f>
        <v/>
      </c>
      <c r="G13" s="169" t="n"/>
      <c r="H13" s="169" t="n"/>
      <c r="I13" s="169" t="n"/>
      <c r="J13" s="170" t="n">
        <v>80.5</v>
      </c>
      <c r="K13" s="169" t="n"/>
      <c r="L13" s="169" t="n"/>
      <c r="M13" s="170" t="n">
        <v>174</v>
      </c>
      <c r="N13" s="169" t="n"/>
      <c r="O13" s="169" t="n"/>
      <c r="P13" s="170" t="n">
        <v>160</v>
      </c>
      <c r="Q13" s="169" t="n"/>
      <c r="R13" s="169" t="n"/>
      <c r="S13" s="170">
        <f>138+24</f>
        <v/>
      </c>
      <c r="T13" s="169" t="n"/>
      <c r="U13" s="169" t="n"/>
      <c r="V13" s="170" t="n">
        <v>152</v>
      </c>
      <c r="W13" s="169" t="n"/>
      <c r="X13" s="169" t="n"/>
      <c r="Y13" s="170">
        <f>136+24</f>
        <v/>
      </c>
      <c r="Z13" s="169" t="n"/>
      <c r="AA13" s="169" t="n"/>
      <c r="AB13" s="170">
        <f>156+16</f>
        <v/>
      </c>
      <c r="AC13" s="169" t="n"/>
      <c r="AD13" s="169" t="n"/>
      <c r="AE13" s="170" t="n"/>
      <c r="AF13" s="169" t="n"/>
      <c r="AG13" s="169" t="n"/>
      <c r="AH13" s="170" t="n"/>
      <c r="AI13" s="169" t="n"/>
      <c r="AJ13" s="169" t="n"/>
      <c r="AK13" s="170" t="n"/>
      <c r="AL13" s="169" t="n"/>
      <c r="AM13" s="169" t="n"/>
      <c r="AN13" s="170" t="n"/>
      <c r="AO13" s="169" t="n"/>
      <c r="AP13" s="169" t="n"/>
      <c r="AQ13" s="312">
        <f>SUM(G13:H13,J13:K13,M13:N13,P13:Q13,S13:T13,V13:W13,Y13:Z13,AB13:AC13,AE13:AF13,AE13:AF13,AH13:AI13,AK13:AL13,AN13:AO13)*E13+SUM(I13,L13,O13,R13,U13,X13,AA13,AD13,AG13,AJ13,AM13,AP13)*F13</f>
        <v/>
      </c>
      <c r="AR13" s="310">
        <f>((G13+I13+J13+L13+M13+O13+P13+R13+S13+U13+V13+X13+Y13+AA13+AB13+AD13+AE13+AG13+AH13+AJ13+AK13+AM13+AN13+AP13)/8)+((H13+K13+N13+Q13+T13+W13+Z13+AC13+AF13+AI13+AL13+AO13)/6)</f>
        <v/>
      </c>
    </row>
    <row r="14" ht="14.45" customHeight="1">
      <c r="A14" t="n">
        <v>8</v>
      </c>
      <c r="B14" s="131" t="inlineStr">
        <is>
          <t>Bushra ElGhamdi</t>
        </is>
      </c>
      <c r="C14" s="131" t="n"/>
      <c r="D14" s="211" t="inlineStr">
        <is>
          <t>KSA- Sr Business Analyst</t>
        </is>
      </c>
      <c r="E14" s="310">
        <f>VLOOKUP(D:D,Positions2024!A:B,2,0)</f>
        <v/>
      </c>
      <c r="F14" s="311">
        <f>'Current Effort - Consultation'!$E14*1.5</f>
        <v/>
      </c>
      <c r="G14" s="167" t="n"/>
      <c r="H14" s="167" t="n"/>
      <c r="I14" s="167" t="n"/>
      <c r="J14" s="168" t="n"/>
      <c r="K14" s="167" t="n"/>
      <c r="L14" s="167" t="n"/>
      <c r="M14" s="168" t="n"/>
      <c r="N14" s="167" t="n"/>
      <c r="O14" s="167" t="n"/>
      <c r="P14" s="168" t="n"/>
      <c r="Q14" s="167" t="n"/>
      <c r="R14" s="167" t="n"/>
      <c r="S14" s="168" t="n"/>
      <c r="T14" s="167" t="n"/>
      <c r="U14" s="167" t="n"/>
      <c r="V14" s="168" t="n"/>
      <c r="W14" s="167" t="n"/>
      <c r="X14" s="167" t="n"/>
      <c r="Y14" s="168" t="n"/>
      <c r="Z14" s="167" t="n"/>
      <c r="AA14" s="167" t="n"/>
      <c r="AB14" s="168" t="n"/>
      <c r="AC14" s="167" t="n"/>
      <c r="AD14" s="167" t="n"/>
      <c r="AE14" s="168" t="n">
        <v>152</v>
      </c>
      <c r="AF14" s="167" t="n"/>
      <c r="AG14" s="167" t="n"/>
      <c r="AH14" s="168" t="n">
        <v>96</v>
      </c>
      <c r="AI14" s="167" t="n">
        <v>24</v>
      </c>
      <c r="AJ14" s="167" t="n"/>
      <c r="AK14" s="168" t="n">
        <v>7</v>
      </c>
      <c r="AL14" s="167">
        <f>96.5-AM14</f>
        <v/>
      </c>
      <c r="AM14" s="167" t="n">
        <v>18.5</v>
      </c>
      <c r="AN14" s="168" t="n">
        <v>80</v>
      </c>
      <c r="AO14" s="167" t="n"/>
      <c r="AP14" s="167" t="n"/>
      <c r="AQ14" s="312">
        <f>SUM(G14:H14,J14:K14,M14:N14,P14:Q14,S14:T14,V14:W14,Y14:Z14,AB14:AC14,AE14:AF14,AE14:AF14,AH14:AI14,AK14:AL14,AN14:AO14)*E14+SUM(I14,L14,O14,R14,U14,X14,AA14,AD14,AG14,AJ14,AM14,AP14)*F14</f>
        <v/>
      </c>
      <c r="AR14" s="310">
        <f>((G14+I14+J14+L14+M14+O14+P14+R14+S14+U14+V14+X14+Y14+AA14+AB14+AD14+AE14+AG14+AH14+AJ14+AK14+AM14+AN14+AP14)/8)+((H14+K14+N14+Q14+T14+W14+Z14+AC14+AF14+AI14+AL14+AO14)/6)</f>
        <v/>
      </c>
    </row>
    <row r="15" ht="14.45" customHeight="1">
      <c r="A15" t="n">
        <v>9</v>
      </c>
      <c r="B15" s="213" t="inlineStr">
        <is>
          <t>Dina Said</t>
        </is>
      </c>
      <c r="C15" s="207" t="n"/>
      <c r="D15" s="212" t="inlineStr">
        <is>
          <t>EGY - Lead Business Analyst</t>
        </is>
      </c>
      <c r="E15" s="310">
        <f>VLOOKUP(D:D,Positions2024!A:B,2,0)</f>
        <v/>
      </c>
      <c r="F15" s="311">
        <f>'Current Effort - Consultation'!$E15*1.5</f>
        <v/>
      </c>
      <c r="G15" s="169" t="n"/>
      <c r="H15" s="169" t="n"/>
      <c r="I15" s="169" t="n"/>
      <c r="J15" s="170" t="n">
        <v>3</v>
      </c>
      <c r="K15" s="169" t="n"/>
      <c r="L15" s="169" t="n"/>
      <c r="M15" s="170" t="n">
        <v>122</v>
      </c>
      <c r="N15" s="169" t="n"/>
      <c r="O15" s="169" t="n"/>
      <c r="P15" s="170" t="n">
        <v>5</v>
      </c>
      <c r="Q15" s="169" t="n"/>
      <c r="R15" s="169" t="n"/>
      <c r="S15" s="170" t="n"/>
      <c r="T15" s="169" t="n"/>
      <c r="U15" s="169" t="n"/>
      <c r="V15" s="170" t="n"/>
      <c r="W15" s="169" t="n"/>
      <c r="X15" s="169" t="n"/>
      <c r="Y15" s="170" t="n"/>
      <c r="Z15" s="169" t="n"/>
      <c r="AA15" s="169" t="n"/>
      <c r="AB15" s="170" t="n"/>
      <c r="AC15" s="169" t="n"/>
      <c r="AD15" s="169" t="n"/>
      <c r="AE15" s="170" t="n"/>
      <c r="AF15" s="169" t="n"/>
      <c r="AG15" s="169" t="n"/>
      <c r="AH15" s="170" t="n"/>
      <c r="AI15" s="169" t="n"/>
      <c r="AJ15" s="169" t="n"/>
      <c r="AK15" s="170" t="n"/>
      <c r="AL15" s="169" t="n"/>
      <c r="AM15" s="169" t="n"/>
      <c r="AN15" s="170" t="n"/>
      <c r="AO15" s="169" t="n"/>
      <c r="AP15" s="169" t="n"/>
      <c r="AQ15" s="312">
        <f>SUM(G15:H15,J15:K15,M15:N15,P15:Q15,S15:T15,V15:W15,Y15:Z15,AB15:AC15,AE15:AF15,AE15:AF15,AH15:AI15,AK15:AL15,AN15:AO15)*E15+SUM(I15,L15,O15,R15,U15,X15,AA15,AD15,AG15,AJ15,AM15,AP15)*F15</f>
        <v/>
      </c>
      <c r="AR15" s="310">
        <f>((G15+I15+J15+L15+M15+O15+P15+R15+S15+U15+V15+X15+Y15+AA15+AB15+AD15+AE15+AG15+AH15+AJ15+AK15+AM15+AN15+AP15)/8)+((H15+K15+N15+Q15+T15+W15+Z15+AC15+AF15+AI15+AL15+AO15)/6)</f>
        <v/>
      </c>
    </row>
    <row r="16" ht="14.45" customHeight="1">
      <c r="A16" t="n">
        <v>10</v>
      </c>
      <c r="B16" s="131" t="inlineStr">
        <is>
          <t>Emad Elgabri</t>
        </is>
      </c>
      <c r="C16" s="131" t="n"/>
      <c r="D16" s="211" t="inlineStr">
        <is>
          <t>KSA - Solution Architect / Manager</t>
        </is>
      </c>
      <c r="E16" s="310">
        <f>VLOOKUP(D:D,Positions2024!A:B,2,0)</f>
        <v/>
      </c>
      <c r="F16" s="311">
        <f>'Current Effort - Consultation'!$E16*1.5</f>
        <v/>
      </c>
      <c r="G16" s="167" t="n"/>
      <c r="H16" s="167" t="n"/>
      <c r="I16" s="167" t="n"/>
      <c r="J16" s="168" t="n"/>
      <c r="K16" s="167" t="n"/>
      <c r="L16" s="167" t="n"/>
      <c r="M16" s="168" t="n">
        <v>72</v>
      </c>
      <c r="N16" s="167" t="n"/>
      <c r="O16" s="167" t="n"/>
      <c r="P16" s="168" t="n">
        <v>168</v>
      </c>
      <c r="Q16" s="167" t="n"/>
      <c r="R16" s="167" t="n"/>
      <c r="S16" s="168" t="n">
        <v>170</v>
      </c>
      <c r="T16" s="167" t="n"/>
      <c r="U16" s="167" t="n"/>
      <c r="V16" s="168" t="n">
        <v>168</v>
      </c>
      <c r="W16" s="167" t="n"/>
      <c r="X16" s="167" t="n"/>
      <c r="Y16" s="168">
        <f>144+16</f>
        <v/>
      </c>
      <c r="Z16" s="167" t="n"/>
      <c r="AA16" s="167" t="n"/>
      <c r="AB16" s="168">
        <f>168+16</f>
        <v/>
      </c>
      <c r="AC16" s="167" t="n"/>
      <c r="AD16" s="167" t="n"/>
      <c r="AE16" s="168" t="n">
        <v>152</v>
      </c>
      <c r="AF16" s="167" t="n"/>
      <c r="AG16" s="167" t="n"/>
      <c r="AH16" s="168" t="n">
        <v>88</v>
      </c>
      <c r="AI16" s="167" t="n">
        <v>36</v>
      </c>
      <c r="AJ16" s="167" t="n"/>
      <c r="AK16" s="168" t="n">
        <v>40</v>
      </c>
      <c r="AL16" s="167" t="n">
        <v>84</v>
      </c>
      <c r="AM16" s="167" t="n"/>
      <c r="AN16" s="168" t="n">
        <v>152</v>
      </c>
      <c r="AO16" s="167" t="n"/>
      <c r="AP16" s="167" t="n"/>
      <c r="AQ16" s="312">
        <f>SUM(G16:H16,J16:K16,M16:N16,P16:Q16,S16:T16,V16:W16,Y16:Z16,AB16:AC16,AE16:AF16,AE16:AF16,AH16:AI16,AK16:AL16,AN16:AO16)*E16+SUM(I16,L16,O16,R16,U16,X16,AA16,AD16,AG16,AJ16,AM16,AP16)*F16</f>
        <v/>
      </c>
      <c r="AR16" s="310">
        <f>((G16+I16+J16+L16+M16+O16+P16+R16+S16+U16+V16+X16+Y16+AA16+AB16+AD16+AE16+AG16+AH16+AJ16+AK16+AM16+AN16+AP16)/8)+((H16+K16+N16+Q16+T16+W16+Z16+AC16+AF16+AI16+AL16+AO16)/6)</f>
        <v/>
      </c>
    </row>
    <row r="17" ht="14.45" customHeight="1">
      <c r="A17" t="n">
        <v>11</v>
      </c>
      <c r="B17" s="213" t="inlineStr">
        <is>
          <t xml:space="preserve">Kareem Waleed </t>
        </is>
      </c>
      <c r="C17" s="207" t="n"/>
      <c r="D17" s="212" t="inlineStr">
        <is>
          <t>EGY - Lead Business Analyst - onsite</t>
        </is>
      </c>
      <c r="E17" s="310">
        <f>VLOOKUP(D:D,Positions2024!A:B,2,0)</f>
        <v/>
      </c>
      <c r="F17" s="311">
        <f>'Current Effort - Consultation'!$E17*1.5</f>
        <v/>
      </c>
      <c r="G17" s="169" t="n"/>
      <c r="H17" s="169" t="n"/>
      <c r="I17" s="169" t="n"/>
      <c r="J17" s="170" t="n"/>
      <c r="K17" s="169" t="n"/>
      <c r="L17" s="169" t="n"/>
      <c r="M17" s="170" t="n"/>
      <c r="N17" s="169" t="n"/>
      <c r="O17" s="169" t="n"/>
      <c r="P17" s="170" t="n"/>
      <c r="Q17" s="169" t="n"/>
      <c r="R17" s="169" t="n"/>
      <c r="S17" s="170" t="n"/>
      <c r="T17" s="169" t="n"/>
      <c r="U17" s="169" t="n"/>
      <c r="V17" s="170" t="n"/>
      <c r="W17" s="169" t="n"/>
      <c r="X17" s="169" t="n"/>
      <c r="Y17" s="170">
        <f>188+16</f>
        <v/>
      </c>
      <c r="Z17" s="169" t="n"/>
      <c r="AA17" s="169" t="n"/>
      <c r="AB17" s="170" t="n">
        <v>197</v>
      </c>
      <c r="AC17" s="169" t="n"/>
      <c r="AD17" s="169" t="n"/>
      <c r="AE17" s="170">
        <f>146-AG17</f>
        <v/>
      </c>
      <c r="AF17" s="169" t="n"/>
      <c r="AG17" s="169" t="n">
        <v>8</v>
      </c>
      <c r="AH17" s="170" t="n">
        <v>97.5</v>
      </c>
      <c r="AI17" s="169" t="n">
        <v>24</v>
      </c>
      <c r="AJ17" s="169" t="n"/>
      <c r="AK17" s="170" t="n">
        <v>16</v>
      </c>
      <c r="AL17" s="169" t="n">
        <v>77</v>
      </c>
      <c r="AM17" s="169" t="n"/>
      <c r="AN17" s="170" t="n">
        <v>91</v>
      </c>
      <c r="AO17" s="169" t="n"/>
      <c r="AP17" s="169" t="n"/>
      <c r="AQ17" s="312">
        <f>SUM(G17:H17,J17:K17,M17:N17,P17:Q17,S17:T17,V17:W17,Y17:Z17,AB17:AC17,AE17:AF17,AE17:AF17,AH17:AI17,AK17:AL17,AN17:AO17)*E17+SUM(I17,L17,O17,R17,U17,X17,AA17,AD17,AG17,AJ17,AM17,AP17)*F17</f>
        <v/>
      </c>
      <c r="AR17" s="310">
        <f>((G17+I17+J17+L17+M17+O17+P17+R17+S17+U17+V17+X17+Y17+AA17+AB17+AD17+AE17+AG17+AH17+AJ17+AK17+AM17+AN17+AP17)/8)+((H17+K17+N17+Q17+T17+W17+Z17+AC17+AF17+AI17+AL17+AO17)/6)</f>
        <v/>
      </c>
    </row>
    <row r="18" ht="14.45" customHeight="1">
      <c r="B18" s="131" t="inlineStr">
        <is>
          <t xml:space="preserve">Kareem Waleed </t>
        </is>
      </c>
      <c r="C18" s="131" t="n"/>
      <c r="D18" s="211" t="inlineStr">
        <is>
          <t>EGY - Lead Business Analyst</t>
        </is>
      </c>
      <c r="E18" s="310">
        <f>VLOOKUP(D:D,Positions2024!A:B,2,0)</f>
        <v/>
      </c>
      <c r="F18" s="311">
        <f>'Current Effort - Consultation'!$E18*1.5</f>
        <v/>
      </c>
      <c r="G18" s="167" t="n"/>
      <c r="H18" s="167" t="n"/>
      <c r="I18" s="167" t="n"/>
      <c r="J18" s="168" t="n"/>
      <c r="K18" s="167" t="n"/>
      <c r="L18" s="167" t="n"/>
      <c r="M18" s="168" t="n"/>
      <c r="N18" s="167" t="n"/>
      <c r="O18" s="167" t="n"/>
      <c r="P18" s="168" t="n"/>
      <c r="Q18" s="167" t="n"/>
      <c r="R18" s="167" t="n"/>
      <c r="S18" s="168" t="n"/>
      <c r="T18" s="167" t="n"/>
      <c r="U18" s="167" t="n"/>
      <c r="V18" s="168" t="n"/>
      <c r="W18" s="167" t="n"/>
      <c r="X18" s="167" t="n"/>
      <c r="Y18" s="168" t="n"/>
      <c r="Z18" s="167" t="n"/>
      <c r="AA18" s="167" t="n"/>
      <c r="AB18" s="168" t="n"/>
      <c r="AC18" s="167" t="n"/>
      <c r="AD18" s="167" t="n"/>
      <c r="AE18" s="168" t="n"/>
      <c r="AF18" s="167" t="n"/>
      <c r="AG18" s="167" t="n"/>
      <c r="AH18" s="168" t="n"/>
      <c r="AI18" s="167" t="n"/>
      <c r="AJ18" s="167" t="n"/>
      <c r="AK18" s="168" t="n"/>
      <c r="AL18" s="167" t="n"/>
      <c r="AM18" s="167" t="n"/>
      <c r="AN18" s="168">
        <f>171.5-91</f>
        <v/>
      </c>
      <c r="AO18" s="167" t="n"/>
      <c r="AP18" s="167" t="n"/>
      <c r="AQ18" s="312">
        <f>SUM(G18:H18,J18:K18,M18:N18,P18:Q18,S18:T18,V18:W18,Y18:Z18,AB18:AC18,AE18:AF18,AE18:AF18,AH18:AI18,AK18:AL18,AN18:AO18)*E18+SUM(I18,L18,O18,R18,U18,X18,AA18,AD18,AG18,AJ18,AM18,AP18)*F18</f>
        <v/>
      </c>
      <c r="AR18" s="310">
        <f>((G18+I18+J18+L18+M18+O18+P18+R18+S18+U18+V18+X18+Y18+AA18+AB18+AD18+AE18+AG18+AH18+AJ18+AK18+AM18+AN18+AP18)/8)+((H18+K18+N18+Q18+T18+W18+Z18+AC18+AF18+AI18+AL18+AO18)/6)</f>
        <v/>
      </c>
    </row>
    <row r="19" ht="14.45" customHeight="1">
      <c r="A19" t="n">
        <v>12</v>
      </c>
      <c r="B19" s="213" t="inlineStr">
        <is>
          <t xml:space="preserve">Menna Adel </t>
        </is>
      </c>
      <c r="C19" s="207" t="n"/>
      <c r="D19" s="212" t="inlineStr">
        <is>
          <t>EGY - Sr UX Designer</t>
        </is>
      </c>
      <c r="E19" s="310">
        <f>VLOOKUP(D:D,Positions2024!A:B,2,0)</f>
        <v/>
      </c>
      <c r="F19" s="311">
        <f>'Current Effort - Consultation'!$E19*1.5</f>
        <v/>
      </c>
      <c r="G19" s="169" t="n"/>
      <c r="H19" s="169" t="n"/>
      <c r="I19" s="169" t="n"/>
      <c r="J19" s="170" t="n"/>
      <c r="K19" s="169" t="n"/>
      <c r="L19" s="169" t="n"/>
      <c r="M19" s="170" t="n"/>
      <c r="N19" s="169" t="n"/>
      <c r="O19" s="169" t="n"/>
      <c r="P19" s="170" t="n"/>
      <c r="Q19" s="169" t="n"/>
      <c r="R19" s="169" t="n"/>
      <c r="S19" s="170" t="n">
        <v>40</v>
      </c>
      <c r="T19" s="169" t="n"/>
      <c r="U19" s="169" t="n"/>
      <c r="V19" s="170" t="n">
        <v>18</v>
      </c>
      <c r="W19" s="169" t="n"/>
      <c r="X19" s="169" t="n"/>
      <c r="Y19" s="170" t="n">
        <v>75</v>
      </c>
      <c r="Z19" s="169" t="n"/>
      <c r="AA19" s="169" t="n"/>
      <c r="AB19" s="170" t="n">
        <v>176</v>
      </c>
      <c r="AC19" s="169" t="n"/>
      <c r="AD19" s="169" t="n"/>
      <c r="AE19" s="170" t="n">
        <v>48</v>
      </c>
      <c r="AF19" s="169" t="n"/>
      <c r="AG19" s="169" t="n"/>
      <c r="AH19" s="170" t="n">
        <v>30</v>
      </c>
      <c r="AI19" s="169" t="n"/>
      <c r="AJ19" s="169" t="n"/>
      <c r="AK19" s="170" t="n"/>
      <c r="AL19" s="169" t="n">
        <v>30</v>
      </c>
      <c r="AM19" s="169" t="n"/>
      <c r="AN19" s="170" t="n"/>
      <c r="AO19" s="169" t="n"/>
      <c r="AP19" s="169" t="n"/>
      <c r="AQ19" s="312">
        <f>SUM(G19:H19,J19:K19,M19:N19,P19:Q19,S19:T19,V19:W19,Y19:Z19,AB19:AC19,AE19:AF19,AE19:AF19,AH19:AI19,AK19:AL19,AN19:AO19)*E19+SUM(I19,L19,O19,R19,U19,X19,AA19,AD19,AG19,AJ19,AM19,AP19)*F19</f>
        <v/>
      </c>
      <c r="AR19" s="310">
        <f>((G19+I19+J19+L19+M19+O19+P19+R19+S19+U19+V19+X19+Y19+AA19+AB19+AD19+AE19+AG19+AH19+AJ19+AK19+AM19+AN19+AP19)/8)+((H19+K19+N19+Q19+T19+W19+Z19+AC19+AF19+AI19+AL19+AO19)/6)</f>
        <v/>
      </c>
    </row>
    <row r="20" ht="14.45" customHeight="1">
      <c r="A20" t="n">
        <v>13</v>
      </c>
      <c r="B20" s="131" t="inlineStr">
        <is>
          <t>Mohammad Nabil</t>
        </is>
      </c>
      <c r="C20" s="131" t="n"/>
      <c r="D20" s="211" t="inlineStr">
        <is>
          <t>EGY - Project Manager</t>
        </is>
      </c>
      <c r="E20" s="310">
        <f>VLOOKUP(D:D,Positions2024!A:B,2,0)</f>
        <v/>
      </c>
      <c r="F20" s="311">
        <f>'Current Effort - Consultation'!$E20*1.5</f>
        <v/>
      </c>
      <c r="G20" s="167" t="n"/>
      <c r="H20" s="167" t="n"/>
      <c r="I20" s="167" t="n"/>
      <c r="J20" s="168" t="n"/>
      <c r="K20" s="167" t="n"/>
      <c r="L20" s="167" t="n"/>
      <c r="M20" s="168" t="n"/>
      <c r="N20" s="167" t="n"/>
      <c r="O20" s="167" t="n"/>
      <c r="P20" s="168" t="n"/>
      <c r="Q20" s="167" t="n"/>
      <c r="R20" s="167" t="n"/>
      <c r="S20" s="168" t="n"/>
      <c r="T20" s="167" t="n"/>
      <c r="U20" s="167" t="n"/>
      <c r="V20" s="168" t="n"/>
      <c r="W20" s="167" t="n"/>
      <c r="X20" s="167" t="n"/>
      <c r="Y20" s="168" t="n"/>
      <c r="Z20" s="167" t="n"/>
      <c r="AA20" s="167" t="n"/>
      <c r="AB20" s="168" t="n"/>
      <c r="AC20" s="167" t="n"/>
      <c r="AD20" s="167" t="n"/>
      <c r="AE20" s="168" t="n"/>
      <c r="AF20" s="167" t="n"/>
      <c r="AG20" s="167" t="n"/>
      <c r="AH20" s="168" t="n"/>
      <c r="AI20" s="167" t="n"/>
      <c r="AJ20" s="167" t="n"/>
      <c r="AK20" s="168" t="n"/>
      <c r="AL20" s="167" t="n">
        <v>6</v>
      </c>
      <c r="AM20" s="167" t="n"/>
      <c r="AN20" s="168" t="n">
        <v>4</v>
      </c>
      <c r="AO20" s="167" t="n"/>
      <c r="AP20" s="167" t="n"/>
      <c r="AQ20" s="312">
        <f>SUM(G20:H20,J20:K20,M20:N20,P20:Q20,S20:T20,V20:W20,Y20:Z20,AB20:AC20,AE20:AF20,AE20:AF20,AH20:AI20,AK20:AL20,AN20:AO20)*E20+SUM(I20,L20,O20,R20,U20,X20,AA20,AD20,AG20,AJ20,AM20,AP20)*F20</f>
        <v/>
      </c>
      <c r="AR20" s="310">
        <f>((G20+I20+J20+L20+M20+O20+P20+R20+S20+U20+V20+X20+Y20+AA20+AB20+AD20+AE20+AG20+AH20+AJ20+AK20+AM20+AN20+AP20)/8)+((H20+K20+N20+Q20+T20+W20+Z20+AC20+AF20+AI20+AL20+AO20)/6)</f>
        <v/>
      </c>
    </row>
    <row r="21" ht="14.45" customHeight="1">
      <c r="A21" t="n">
        <v>14</v>
      </c>
      <c r="B21" s="213" t="inlineStr">
        <is>
          <t>Mohamed Abdallah</t>
        </is>
      </c>
      <c r="C21" s="207" t="n"/>
      <c r="D21" s="212" t="inlineStr">
        <is>
          <t>KSA - Project Manager</t>
        </is>
      </c>
      <c r="E21" s="310">
        <f>VLOOKUP(D:D,Positions2024!A:B,2,0)</f>
        <v/>
      </c>
      <c r="F21" s="311">
        <f>'Current Effort - Consultation'!$E21*1.5</f>
        <v/>
      </c>
      <c r="G21" s="169" t="n"/>
      <c r="H21" s="169" t="n"/>
      <c r="I21" s="169" t="n"/>
      <c r="J21" s="170" t="n"/>
      <c r="K21" s="169" t="n"/>
      <c r="L21" s="169" t="n"/>
      <c r="M21" s="170" t="n">
        <v>110</v>
      </c>
      <c r="N21" s="169" t="n"/>
      <c r="O21" s="169" t="n"/>
      <c r="P21" s="170" t="n">
        <v>44</v>
      </c>
      <c r="Q21" s="169" t="n"/>
      <c r="R21" s="169" t="n"/>
      <c r="S21" s="170" t="n"/>
      <c r="T21" s="169" t="n"/>
      <c r="U21" s="169" t="n"/>
      <c r="V21" s="170" t="n"/>
      <c r="W21" s="169" t="n"/>
      <c r="X21" s="169" t="n"/>
      <c r="Y21" s="170" t="n"/>
      <c r="Z21" s="169" t="n"/>
      <c r="AA21" s="169" t="n"/>
      <c r="AB21" s="170" t="n"/>
      <c r="AC21" s="169" t="n"/>
      <c r="AD21" s="169" t="n"/>
      <c r="AE21" s="170" t="n"/>
      <c r="AF21" s="169" t="n"/>
      <c r="AG21" s="169" t="n"/>
      <c r="AH21" s="170" t="n"/>
      <c r="AI21" s="169" t="n"/>
      <c r="AJ21" s="169" t="n"/>
      <c r="AK21" s="170" t="n"/>
      <c r="AL21" s="169" t="n"/>
      <c r="AM21" s="169" t="n"/>
      <c r="AN21" s="170" t="n"/>
      <c r="AO21" s="169" t="n"/>
      <c r="AP21" s="169" t="n"/>
      <c r="AQ21" s="312">
        <f>SUM(G21:H21,J21:K21,M21:N21,P21:Q21,S21:T21,V21:W21,Y21:Z21,AB21:AC21,AE21:AF21,AE21:AF21,AH21:AI21,AK21:AL21,AN21:AO21)*E21+SUM(I21,L21,O21,R21,U21,X21,AA21,AD21,AG21,AJ21,AM21,AP21)*F21</f>
        <v/>
      </c>
      <c r="AR21" s="310">
        <f>((G21+I21+J21+L21+M21+O21+P21+R21+S21+U21+V21+X21+Y21+AA21+AB21+AD21+AE21+AG21+AH21+AJ21+AK21+AM21+AN21+AP21)/8)+((H21+K21+N21+Q21+T21+W21+Z21+AC21+AF21+AI21+AL21+AO21)/6)</f>
        <v/>
      </c>
    </row>
    <row r="22" ht="14.45" customHeight="1">
      <c r="A22" t="n">
        <v>15</v>
      </c>
      <c r="B22" s="131" t="inlineStr">
        <is>
          <t>Mohamed Eldegwy</t>
        </is>
      </c>
      <c r="C22" s="131" t="n"/>
      <c r="D22" s="211" t="inlineStr">
        <is>
          <t>EGY - Lead UX Designer</t>
        </is>
      </c>
      <c r="E22" s="310">
        <f>VLOOKUP(D:D,Positions2024!A:B,2,0)</f>
        <v/>
      </c>
      <c r="F22" s="311">
        <f>'Current Effort - Consultation'!$E22*1.5</f>
        <v/>
      </c>
      <c r="G22" s="167" t="n"/>
      <c r="H22" s="167" t="n"/>
      <c r="I22" s="167" t="n"/>
      <c r="J22" s="168" t="n"/>
      <c r="K22" s="167" t="n"/>
      <c r="L22" s="167" t="n"/>
      <c r="M22" s="168" t="n"/>
      <c r="N22" s="167" t="n"/>
      <c r="O22" s="167" t="n"/>
      <c r="P22" s="168" t="n"/>
      <c r="Q22" s="167" t="n"/>
      <c r="R22" s="167" t="n"/>
      <c r="S22" s="168" t="n">
        <v>24</v>
      </c>
      <c r="T22" s="167" t="n"/>
      <c r="U22" s="167" t="n"/>
      <c r="V22" s="168" t="n">
        <v>32</v>
      </c>
      <c r="W22" s="167" t="n"/>
      <c r="X22" s="167" t="n"/>
      <c r="Y22" s="168" t="n">
        <v>18</v>
      </c>
      <c r="Z22" s="167" t="n"/>
      <c r="AA22" s="167" t="n"/>
      <c r="AB22" s="168" t="n"/>
      <c r="AC22" s="167" t="n"/>
      <c r="AD22" s="167" t="n"/>
      <c r="AE22" s="168" t="n"/>
      <c r="AF22" s="167" t="n"/>
      <c r="AG22" s="167" t="n"/>
      <c r="AH22" s="168" t="n"/>
      <c r="AI22" s="167" t="n"/>
      <c r="AJ22" s="167" t="n"/>
      <c r="AK22" s="168" t="n"/>
      <c r="AL22" s="167" t="n"/>
      <c r="AM22" s="167" t="n"/>
      <c r="AN22" s="168" t="n"/>
      <c r="AO22" s="167" t="n"/>
      <c r="AP22" s="167" t="n"/>
      <c r="AQ22" s="312">
        <f>SUM(G22:H22,J22:K22,M22:N22,P22:Q22,S22:T22,V22:W22,Y22:Z22,AB22:AC22,AE22:AF22,AE22:AF22,AH22:AI22,AK22:AL22,AN22:AO22)*E22+SUM(I22,L22,O22,R22,U22,X22,AA22,AD22,AG22,AJ22,AM22,AP22)*F22</f>
        <v/>
      </c>
      <c r="AR22" s="310">
        <f>((G22+I22+J22+L22+M22+O22+P22+R22+S22+U22+V22+X22+Y22+AA22+AB22+AD22+AE22+AG22+AH22+AJ22+AK22+AM22+AN22+AP22)/8)+((H22+K22+N22+Q22+T22+W22+Z22+AC22+AF22+AI22+AL22+AO22)/6)</f>
        <v/>
      </c>
    </row>
    <row r="23" ht="14.45" customHeight="1">
      <c r="A23" t="n">
        <v>16</v>
      </c>
      <c r="B23" s="213" t="inlineStr">
        <is>
          <t>Mohamed Foad</t>
        </is>
      </c>
      <c r="C23" s="207" t="n"/>
      <c r="D23" s="212" t="inlineStr">
        <is>
          <t>KSA - Solution Architect / Manager</t>
        </is>
      </c>
      <c r="E23" s="310">
        <f>VLOOKUP(D:D,Positions2024!A:B,2,0)</f>
        <v/>
      </c>
      <c r="F23" s="311">
        <f>'Current Effort - Consultation'!$E23*1.5</f>
        <v/>
      </c>
      <c r="G23" s="169" t="n"/>
      <c r="H23" s="169" t="n"/>
      <c r="I23" s="169" t="n">
        <v>31</v>
      </c>
      <c r="J23" s="170" t="n"/>
      <c r="K23" s="169" t="n"/>
      <c r="L23" s="169" t="n">
        <v>13</v>
      </c>
      <c r="M23" s="170" t="n"/>
      <c r="N23" s="169" t="n"/>
      <c r="O23" s="169" t="n">
        <v>8.5</v>
      </c>
      <c r="P23" s="170" t="n"/>
      <c r="Q23" s="169" t="n"/>
      <c r="R23" s="169" t="n">
        <v>21.5</v>
      </c>
      <c r="S23" s="170" t="n"/>
      <c r="T23" s="169" t="n"/>
      <c r="U23" s="169" t="n"/>
      <c r="V23" s="170" t="n"/>
      <c r="W23" s="169" t="n"/>
      <c r="X23" s="169" t="n"/>
      <c r="Y23" s="170" t="n"/>
      <c r="Z23" s="169" t="n"/>
      <c r="AA23" s="169" t="n">
        <v>24</v>
      </c>
      <c r="AB23" s="170" t="n"/>
      <c r="AC23" s="169" t="n"/>
      <c r="AD23" s="169" t="n"/>
      <c r="AE23" s="170" t="n"/>
      <c r="AF23" s="169" t="n"/>
      <c r="AG23" s="169" t="n"/>
      <c r="AH23" s="170" t="n"/>
      <c r="AI23" s="169" t="n"/>
      <c r="AJ23" s="169" t="n"/>
      <c r="AK23" s="170" t="n"/>
      <c r="AL23" s="169" t="n"/>
      <c r="AM23" s="169" t="n"/>
      <c r="AN23" s="170" t="n"/>
      <c r="AO23" s="169" t="n"/>
      <c r="AP23" s="169" t="n"/>
      <c r="AQ23" s="312">
        <f>SUM(G23:H23,J23:K23,M23:N23,P23:Q23,S23:T23,V23:W23,Y23:Z23,AB23:AC23,AE23:AF23,AE23:AF23,AH23:AI23,AK23:AL23,AN23:AO23)*E23+SUM(I23,L23,O23,R23,U23,X23,AA23,AD23,AG23,AJ23,AM23,AP23)*F23</f>
        <v/>
      </c>
      <c r="AR23" s="310">
        <f>((G23+I23+J23+L23+M23+O23+P23+R23+S23+U23+V23+X23+Y23+AA23+AB23+AD23+AE23+AG23+AH23+AJ23+AK23+AM23+AN23+AP23)/8)+((H23+K23+N23+Q23+T23+W23+Z23+AC23+AF23+AI23+AL23+AO23)/6)</f>
        <v/>
      </c>
    </row>
    <row r="24" ht="14.45" customHeight="1">
      <c r="A24" t="n">
        <v>17</v>
      </c>
      <c r="B24" s="131" t="inlineStr">
        <is>
          <t>Khaled Elbialy</t>
        </is>
      </c>
      <c r="C24" s="131" t="n"/>
      <c r="D24" s="211" t="inlineStr">
        <is>
          <t>EGY - Sr Business Analyst - onsite</t>
        </is>
      </c>
      <c r="E24" s="310">
        <f>VLOOKUP(D:D,Positions2024!A:B,2,0)</f>
        <v/>
      </c>
      <c r="F24" s="311">
        <f>'Current Effort - Consultation'!$E24*1.5</f>
        <v/>
      </c>
      <c r="G24" s="167" t="n"/>
      <c r="H24" s="167" t="n"/>
      <c r="I24" s="167" t="n"/>
      <c r="J24" s="168" t="n"/>
      <c r="K24" s="167" t="n"/>
      <c r="L24" s="167" t="n"/>
      <c r="M24" s="168" t="n"/>
      <c r="N24" s="167" t="n"/>
      <c r="O24" s="167" t="n"/>
      <c r="P24" s="168" t="n"/>
      <c r="Q24" s="167" t="n"/>
      <c r="R24" s="167" t="n"/>
      <c r="S24" s="168" t="n">
        <v>138</v>
      </c>
      <c r="T24" s="167" t="n"/>
      <c r="U24" s="167" t="n"/>
      <c r="V24" s="168">
        <f>176-X24</f>
        <v/>
      </c>
      <c r="W24" s="167" t="n"/>
      <c r="X24" s="167" t="n">
        <v>8</v>
      </c>
      <c r="Y24" s="168">
        <f>152+8</f>
        <v/>
      </c>
      <c r="Z24" s="167" t="n"/>
      <c r="AA24" s="167" t="n"/>
      <c r="AB24" s="168" t="n">
        <v>96</v>
      </c>
      <c r="AC24" s="167" t="n"/>
      <c r="AD24" s="167" t="n"/>
      <c r="AE24" s="168">
        <f>160-AG24</f>
        <v/>
      </c>
      <c r="AF24" s="167" t="n"/>
      <c r="AG24" s="167" t="n">
        <v>8</v>
      </c>
      <c r="AH24" s="168" t="n">
        <v>95</v>
      </c>
      <c r="AI24" s="167" t="n">
        <v>36</v>
      </c>
      <c r="AJ24" s="167" t="n"/>
      <c r="AK24" s="168" t="n">
        <v>36</v>
      </c>
      <c r="AL24" s="167" t="n">
        <v>84</v>
      </c>
      <c r="AM24" s="167" t="n"/>
      <c r="AN24" s="168" t="n">
        <v>56</v>
      </c>
      <c r="AO24" s="167" t="n"/>
      <c r="AP24" s="167" t="n"/>
      <c r="AQ24" s="312">
        <f>SUM(G24:H24,J24:K24,M24:N24,P24:Q24,S24:T24,V24:W24,Y24:Z24,AB24:AC24,AE24:AF24,AE24:AF24,AH24:AI24,AK24:AL24,AN24:AO24)*E24+SUM(I24,L24,O24,R24,U24,X24,AA24,AD24,AG24,AJ24,AM24,AP24)*F24</f>
        <v/>
      </c>
      <c r="AR24" s="310">
        <f>((G24+I24+J24+L24+M24+O24+P24+R24+S24+U24+V24+X24+Y24+AA24+AB24+AD24+AE24+AG24+AH24+AJ24+AK24+AM24+AN24+AP24)/8)+((H24+K24+N24+Q24+T24+W24+Z24+AC24+AF24+AI24+AL24+AO24)/6)</f>
        <v/>
      </c>
    </row>
    <row r="25" ht="14.45" customHeight="1">
      <c r="B25" s="213" t="inlineStr">
        <is>
          <t>Khaled Elbialy</t>
        </is>
      </c>
      <c r="C25" s="207" t="n"/>
      <c r="D25" s="212" t="inlineStr">
        <is>
          <t>EGY - Sr Business Analyst</t>
        </is>
      </c>
      <c r="E25" s="310">
        <f>VLOOKUP(D:D,Positions2024!A:B,2,0)</f>
        <v/>
      </c>
      <c r="F25" s="311">
        <f>'Current Effort - Consultation'!$E25*1.5</f>
        <v/>
      </c>
      <c r="G25" s="169" t="n"/>
      <c r="H25" s="169" t="n"/>
      <c r="I25" s="169" t="n"/>
      <c r="J25" s="170" t="n"/>
      <c r="K25" s="169" t="n"/>
      <c r="L25" s="169" t="n"/>
      <c r="M25" s="170" t="n"/>
      <c r="N25" s="169" t="n"/>
      <c r="O25" s="169" t="n"/>
      <c r="P25" s="170" t="n"/>
      <c r="Q25" s="169" t="n"/>
      <c r="R25" s="169" t="n"/>
      <c r="S25" s="170" t="n"/>
      <c r="T25" s="169" t="n"/>
      <c r="U25" s="169" t="n"/>
      <c r="V25" s="170" t="n"/>
      <c r="W25" s="169" t="n"/>
      <c r="X25" s="169" t="n"/>
      <c r="Y25" s="170" t="n"/>
      <c r="Z25" s="169" t="n"/>
      <c r="AA25" s="169" t="n"/>
      <c r="AB25" s="170" t="n"/>
      <c r="AC25" s="169" t="n"/>
      <c r="AD25" s="169" t="n"/>
      <c r="AE25" s="170" t="n"/>
      <c r="AF25" s="169" t="n"/>
      <c r="AG25" s="169" t="n"/>
      <c r="AH25" s="170" t="n"/>
      <c r="AI25" s="169" t="n"/>
      <c r="AJ25" s="169" t="n"/>
      <c r="AK25" s="170" t="n"/>
      <c r="AL25" s="169" t="n"/>
      <c r="AM25" s="169" t="n"/>
      <c r="AN25" s="170">
        <f>161-AN24</f>
        <v/>
      </c>
      <c r="AO25" s="169" t="n"/>
      <c r="AP25" s="169" t="n"/>
      <c r="AQ25" s="312">
        <f>SUM(G25:H25,J25:K25,M25:N25,P25:Q25,S25:T25,V25:W25,Y25:Z25,AB25:AC25,AE25:AF25,AE25:AF25,AH25:AI25,AK25:AL25,AN25:AO25)*E25+SUM(I25,L25,O25,R25,U25,X25,AA25,AD25,AG25,AJ25,AM25,AP25)*F25</f>
        <v/>
      </c>
      <c r="AR25" s="310">
        <f>((G25+I25+J25+L25+M25+O25+P25+R25+S25+U25+V25+X25+Y25+AA25+AB25+AD25+AE25+AG25+AH25+AJ25+AK25+AM25+AN25+AP25)/8)+((H25+K25+N25+Q25+T25+W25+Z25+AC25+AF25+AI25+AL25+AO25)/6)</f>
        <v/>
      </c>
    </row>
    <row r="26" ht="14.45" customHeight="1">
      <c r="A26" t="n">
        <v>18</v>
      </c>
      <c r="B26" s="131" t="inlineStr">
        <is>
          <t>Moahmed Ismail</t>
        </is>
      </c>
      <c r="C26" s="131" t="n"/>
      <c r="D26" s="211" t="inlineStr">
        <is>
          <t>KSA - Solution Architect / Manager</t>
        </is>
      </c>
      <c r="E26" s="310">
        <f>VLOOKUP(D:D,Positions2024!A:B,2,0)</f>
        <v/>
      </c>
      <c r="F26" s="311">
        <f>'Current Effort - Consultation'!$E26*1.5</f>
        <v/>
      </c>
      <c r="G26" s="167" t="n"/>
      <c r="H26" s="167" t="n"/>
      <c r="I26" s="167" t="n"/>
      <c r="J26" s="168" t="n"/>
      <c r="K26" s="167" t="n"/>
      <c r="L26" s="167" t="n"/>
      <c r="M26" s="168" t="n">
        <v>58</v>
      </c>
      <c r="N26" s="167" t="n"/>
      <c r="O26" s="167" t="n"/>
      <c r="P26" s="168" t="n">
        <v>149</v>
      </c>
      <c r="Q26" s="167" t="n"/>
      <c r="R26" s="167" t="n"/>
      <c r="S26" s="168" t="n">
        <v>144</v>
      </c>
      <c r="T26" s="167" t="n"/>
      <c r="U26" s="167" t="n"/>
      <c r="V26" s="168" t="n">
        <v>116</v>
      </c>
      <c r="W26" s="167" t="n"/>
      <c r="X26" s="167" t="n"/>
      <c r="Y26" s="168" t="n">
        <v>101</v>
      </c>
      <c r="Z26" s="167" t="n"/>
      <c r="AA26" s="167" t="n"/>
      <c r="AB26" s="168" t="n">
        <v>121</v>
      </c>
      <c r="AC26" s="167" t="n"/>
      <c r="AD26" s="167" t="n"/>
      <c r="AE26" s="168" t="n">
        <v>104</v>
      </c>
      <c r="AF26" s="167" t="n"/>
      <c r="AG26" s="167" t="n"/>
      <c r="AH26" s="168" t="n">
        <v>32</v>
      </c>
      <c r="AI26" s="167" t="n"/>
      <c r="AJ26" s="167" t="n"/>
      <c r="AK26" s="168" t="n"/>
      <c r="AL26" s="167" t="n">
        <v>18</v>
      </c>
      <c r="AM26" s="167" t="n"/>
      <c r="AN26" s="168" t="n"/>
      <c r="AO26" s="167" t="n"/>
      <c r="AP26" s="167" t="n"/>
      <c r="AQ26" s="312">
        <f>SUM(G26:H26,J26:K26,M26:N26,P26:Q26,S26:T26,V26:W26,Y26:Z26,AB26:AC26,AE26:AF26,AE26:AF26,AH26:AI26,AK26:AL26,AN26:AO26)*E26+SUM(I26,L26,O26,R26,U26,X26,AA26,AD26,AG26,AJ26,AM26,AP26)*F26</f>
        <v/>
      </c>
      <c r="AR26" s="310">
        <f>((G26+I26+J26+L26+M26+O26+P26+R26+S26+U26+V26+X26+Y26+AA26+AB26+AD26+AE26+AG26+AH26+AJ26+AK26+AM26+AN26+AP26)/8)+((H26+K26+N26+Q26+T26+W26+Z26+AC26+AF26+AI26+AL26+AO26)/6)</f>
        <v/>
      </c>
    </row>
    <row r="27" ht="14.45" customHeight="1">
      <c r="A27" t="n">
        <v>19</v>
      </c>
      <c r="B27" s="213" t="inlineStr">
        <is>
          <t>Mostafa Mokhtar</t>
        </is>
      </c>
      <c r="C27" s="207" t="n"/>
      <c r="D27" s="212" t="inlineStr">
        <is>
          <t>EGY - Sr. Software Engineer - onsite</t>
        </is>
      </c>
      <c r="E27" s="310">
        <f>VLOOKUP(D:D,Positions2024!A:B,2,0)</f>
        <v/>
      </c>
      <c r="F27" s="311">
        <f>'Current Effort - Consultation'!$E27*1.5</f>
        <v/>
      </c>
      <c r="G27" s="169" t="n"/>
      <c r="H27" s="169" t="n"/>
      <c r="I27" s="169" t="n"/>
      <c r="J27" s="170" t="n"/>
      <c r="K27" s="169" t="n"/>
      <c r="L27" s="169" t="n"/>
      <c r="M27" s="170" t="n"/>
      <c r="N27" s="169" t="n"/>
      <c r="O27" s="169" t="n"/>
      <c r="P27" s="170" t="n"/>
      <c r="Q27" s="169" t="n"/>
      <c r="R27" s="169" t="n"/>
      <c r="S27" s="170" t="n"/>
      <c r="T27" s="169" t="n"/>
      <c r="U27" s="169" t="n"/>
      <c r="V27" s="170" t="n"/>
      <c r="W27" s="169" t="n"/>
      <c r="X27" s="169" t="n"/>
      <c r="Y27" s="170" t="n"/>
      <c r="Z27" s="169" t="n"/>
      <c r="AA27" s="169" t="n"/>
      <c r="AB27" s="170" t="n"/>
      <c r="AC27" s="169" t="n"/>
      <c r="AD27" s="169" t="n"/>
      <c r="AE27" s="170" t="n"/>
      <c r="AF27" s="169" t="n"/>
      <c r="AG27" s="169" t="n"/>
      <c r="AH27" s="170" t="n"/>
      <c r="AI27" s="169" t="n"/>
      <c r="AJ27" s="169" t="n"/>
      <c r="AK27" s="170" t="n">
        <v>1</v>
      </c>
      <c r="AL27" s="169" t="n">
        <v>1</v>
      </c>
      <c r="AM27" s="169" t="n"/>
      <c r="AN27" s="170" t="n">
        <v>1</v>
      </c>
      <c r="AO27" s="169" t="n"/>
      <c r="AP27" s="169" t="n"/>
      <c r="AQ27" s="312">
        <f>SUM(G27:H27,J27:K27,M27:N27,P27:Q27,S27:T27,V27:W27,Y27:Z27,AB27:AC27,AE27:AF27,AE27:AF27,AH27:AI27,AK27:AL27,AN27:AO27)*E27+SUM(I27,L27,O27,R27,U27,X27,AA27,AD27,AG27,AJ27,AM27,AP27)*F27</f>
        <v/>
      </c>
      <c r="AR27" s="310">
        <f>((G27+I27+J27+L27+M27+O27+P27+R27+S27+U27+V27+X27+Y27+AA27+AB27+AD27+AE27+AG27+AH27+AJ27+AK27+AM27+AN27+AP27)/8)+((H27+K27+N27+Q27+T27+W27+Z27+AC27+AF27+AI27+AL27+AO27)/6)</f>
        <v/>
      </c>
    </row>
    <row r="28" ht="14.45" customHeight="1">
      <c r="A28" t="n">
        <v>20</v>
      </c>
      <c r="B28" s="131" t="inlineStr">
        <is>
          <t>Shady Mahfouz</t>
        </is>
      </c>
      <c r="C28" s="131" t="n"/>
      <c r="D28" s="211" t="inlineStr">
        <is>
          <t>EGY - Business Analyst - onsite</t>
        </is>
      </c>
      <c r="E28" s="310">
        <f>VLOOKUP(D:D,Positions2024!A:B,2,0)</f>
        <v/>
      </c>
      <c r="F28" s="311">
        <f>'Current Effort - Consultation'!$E28*1.5</f>
        <v/>
      </c>
      <c r="G28" s="167" t="n"/>
      <c r="H28" s="167" t="n"/>
      <c r="I28" s="167" t="n"/>
      <c r="J28" s="168" t="n"/>
      <c r="K28" s="167" t="n"/>
      <c r="L28" s="167" t="n"/>
      <c r="M28" s="168" t="n"/>
      <c r="N28" s="167" t="n"/>
      <c r="O28" s="167" t="n"/>
      <c r="P28" s="168" t="n">
        <v>6</v>
      </c>
      <c r="Q28" s="167" t="n"/>
      <c r="R28" s="167" t="n"/>
      <c r="S28" s="168" t="n">
        <v>180</v>
      </c>
      <c r="T28" s="167" t="n"/>
      <c r="U28" s="167" t="n"/>
      <c r="V28" s="168">
        <f>179-X28</f>
        <v/>
      </c>
      <c r="W28" s="167" t="n"/>
      <c r="X28" s="167" t="n">
        <v>11</v>
      </c>
      <c r="Y28" s="168">
        <f>156+8</f>
        <v/>
      </c>
      <c r="Z28" s="167" t="n"/>
      <c r="AA28" s="167" t="n"/>
      <c r="AB28" s="168">
        <f>96+8</f>
        <v/>
      </c>
      <c r="AC28" s="167" t="n"/>
      <c r="AD28" s="167" t="n"/>
      <c r="AE28" s="168">
        <f>168-AG28</f>
        <v/>
      </c>
      <c r="AF28" s="167" t="n"/>
      <c r="AG28" s="167" t="n">
        <v>8</v>
      </c>
      <c r="AH28" s="168" t="n">
        <v>104</v>
      </c>
      <c r="AI28" s="167" t="n">
        <v>36</v>
      </c>
      <c r="AJ28" s="167" t="n"/>
      <c r="AK28" s="168" t="n">
        <v>24</v>
      </c>
      <c r="AL28" s="167" t="n">
        <v>84</v>
      </c>
      <c r="AM28" s="167" t="n"/>
      <c r="AN28" s="168" t="n"/>
      <c r="AO28" s="167" t="n"/>
      <c r="AP28" s="167" t="n"/>
      <c r="AQ28" s="312">
        <f>SUM(G28:H28,J28:K28,M28:N28,P28:Q28,S28:T28,V28:W28,Y28:Z28,AB28:AC28,AE28:AF28,AE28:AF28,AH28:AI28,AK28:AL28,AN28:AO28)*E28+SUM(I28,L28,O28,R28,U28,X28,AA28,AD28,AG28,AJ28,AM28,AP28)*F28</f>
        <v/>
      </c>
      <c r="AR28" s="310">
        <f>((G28+I28+J28+L28+M28+O28+P28+R28+S28+U28+V28+X28+Y28+AA28+AB28+AD28+AE28+AG28+AH28+AJ28+AK28+AM28+AN28+AP28)/8)+((H28+K28+N28+Q28+T28+W28+Z28+AC28+AF28+AI28+AL28+AO28)/6)</f>
        <v/>
      </c>
    </row>
    <row r="29" ht="14.45" customHeight="1">
      <c r="A29" t="n">
        <v>21</v>
      </c>
      <c r="B29" s="213" t="inlineStr">
        <is>
          <t>Shady Mahfouz</t>
        </is>
      </c>
      <c r="C29" s="207" t="n"/>
      <c r="D29" s="212" t="inlineStr">
        <is>
          <t>EGY - Business Analyst</t>
        </is>
      </c>
      <c r="E29" s="310">
        <f>VLOOKUP(D:D,Positions2024!A:B,2,0)</f>
        <v/>
      </c>
      <c r="F29" s="311">
        <f>'Current Effort - Consultation'!$E29*1.5</f>
        <v/>
      </c>
      <c r="G29" s="169" t="n"/>
      <c r="H29" s="169" t="n"/>
      <c r="I29" s="169" t="n"/>
      <c r="J29" s="170" t="n"/>
      <c r="K29" s="169" t="n"/>
      <c r="L29" s="169" t="n"/>
      <c r="M29" s="170" t="n"/>
      <c r="N29" s="169" t="n"/>
      <c r="O29" s="169" t="n"/>
      <c r="P29" s="170" t="n"/>
      <c r="Q29" s="169" t="n"/>
      <c r="R29" s="169" t="n"/>
      <c r="S29" s="170" t="n"/>
      <c r="T29" s="169" t="n"/>
      <c r="U29" s="169" t="n"/>
      <c r="V29" s="170" t="n"/>
      <c r="W29" s="169" t="n"/>
      <c r="X29" s="169" t="n"/>
      <c r="Y29" s="170" t="n"/>
      <c r="Z29" s="169" t="n"/>
      <c r="AA29" s="169" t="n"/>
      <c r="AB29" s="170" t="n"/>
      <c r="AC29" s="169" t="n"/>
      <c r="AD29" s="169" t="n"/>
      <c r="AE29" s="170" t="n"/>
      <c r="AF29" s="169" t="n"/>
      <c r="AG29" s="169" t="n"/>
      <c r="AH29" s="170" t="n"/>
      <c r="AI29" s="169" t="n"/>
      <c r="AJ29" s="169" t="n"/>
      <c r="AK29" s="170" t="n"/>
      <c r="AL29" s="169" t="n"/>
      <c r="AM29" s="169" t="n"/>
      <c r="AN29" s="170" t="n">
        <v>158</v>
      </c>
      <c r="AO29" s="169" t="n"/>
      <c r="AP29" s="169" t="n"/>
      <c r="AQ29" s="312">
        <f>SUM(G29:H29,J29:K29,M29:N29,P29:Q29,S29:T29,V29:W29,Y29:Z29,AB29:AC29,AE29:AF29,AE29:AF29,AH29:AI29,AK29:AL29,AN29:AO29)*E29+SUM(I29,L29,O29,R29,U29,X29,AA29,AD29,AG29,AJ29,AM29,AP29)*F29</f>
        <v/>
      </c>
      <c r="AR29" s="310">
        <f>((G29+I29+J29+L29+M29+O29+P29+R29+S29+U29+V29+X29+Y29+AA29+AB29+AD29+AE29+AG29+AH29+AJ29+AK29+AM29+AN29+AP29)/8)+((H29+K29+N29+Q29+T29+W29+Z29+AC29+AF29+AI29+AL29+AO29)/6)</f>
        <v/>
      </c>
    </row>
    <row r="30" ht="14.45" customHeight="1">
      <c r="A30" t="n">
        <v>22</v>
      </c>
      <c r="B30" s="131" t="inlineStr">
        <is>
          <t>Njoud ElMubarek</t>
        </is>
      </c>
      <c r="C30" s="131" t="n"/>
      <c r="D30" s="211" t="inlineStr">
        <is>
          <t>KSA - Business Analyst</t>
        </is>
      </c>
      <c r="E30" s="310">
        <f>VLOOKUP(D:D,Positions2024!A:B,2,0)</f>
        <v/>
      </c>
      <c r="F30" s="311">
        <f>'Current Effort - Consultation'!$E30*1.5</f>
        <v/>
      </c>
      <c r="G30" s="167" t="n"/>
      <c r="H30" s="167" t="n"/>
      <c r="I30" s="167" t="n"/>
      <c r="J30" s="168" t="n">
        <v>88</v>
      </c>
      <c r="K30" s="167" t="n"/>
      <c r="L30" s="167" t="n"/>
      <c r="M30" s="168" t="n">
        <v>176</v>
      </c>
      <c r="N30" s="167" t="n"/>
      <c r="O30" s="167" t="n"/>
      <c r="P30" s="168" t="n">
        <v>120</v>
      </c>
      <c r="Q30" s="167" t="n"/>
      <c r="R30" s="167" t="n"/>
      <c r="S30" s="168" t="n"/>
      <c r="T30" s="167" t="n"/>
      <c r="U30" s="167" t="n"/>
      <c r="V30" s="168" t="n"/>
      <c r="W30" s="167" t="n"/>
      <c r="X30" s="167" t="n"/>
      <c r="Y30" s="168" t="n"/>
      <c r="Z30" s="167" t="n"/>
      <c r="AA30" s="167" t="n"/>
      <c r="AB30" s="168" t="n"/>
      <c r="AC30" s="167" t="n"/>
      <c r="AD30" s="167" t="n"/>
      <c r="AE30" s="168" t="n"/>
      <c r="AF30" s="167" t="n"/>
      <c r="AG30" s="167" t="n"/>
      <c r="AH30" s="168" t="n"/>
      <c r="AI30" s="167" t="n"/>
      <c r="AJ30" s="167" t="n"/>
      <c r="AK30" s="168" t="n"/>
      <c r="AL30" s="167" t="n"/>
      <c r="AM30" s="167" t="n"/>
      <c r="AN30" s="168" t="n"/>
      <c r="AO30" s="167" t="n"/>
      <c r="AP30" s="167" t="n"/>
      <c r="AQ30" s="312">
        <f>SUM(G30:H30,J30:K30,M30:N30,P30:Q30,S30:T30,V30:W30,Y30:Z30,AB30:AC30,AE30:AF30,AE30:AF30,AH30:AI30,AK30:AL30,AN30:AO30)*E30+SUM(I30,L30,O30,R30,U30,X30,AA30,AD30,AG30,AJ30,AM30,AP30)*F30</f>
        <v/>
      </c>
      <c r="AR30" s="310">
        <f>((G30+I30+J30+L30+M30+O30+P30+R30+S30+U30+V30+X30+Y30+AA30+AB30+AD30+AE30+AG30+AH30+AJ30+AK30+AM30+AN30+AP30)/8)+((H30+K30+N30+Q30+T30+W30+Z30+AC30+AF30+AI30+AL30+AO30)/6)</f>
        <v/>
      </c>
    </row>
    <row r="31" ht="18" customHeight="1">
      <c r="D31" s="4" t="n"/>
      <c r="E31" s="313" t="n"/>
      <c r="F31" s="313" t="n"/>
      <c r="G31" s="176" t="n"/>
      <c r="H31" s="177" t="n"/>
      <c r="I31" s="178">
        <f>(SUM(G6:G30)+SUM(I6:I30))/8+SUM(H6:H30)/6</f>
        <v/>
      </c>
      <c r="J31" s="179" t="n"/>
      <c r="K31" s="180" t="n"/>
      <c r="L31" s="178">
        <f>(SUM(J6:J30)+SUM(L6:L30))/8+SUM(K6:K30)/6</f>
        <v/>
      </c>
      <c r="M31" s="180" t="n"/>
      <c r="N31" s="180" t="n"/>
      <c r="O31" s="178">
        <f>(SUM(M6:M30)+SUM(O6:O30))/8+SUM(N6:N30)/6</f>
        <v/>
      </c>
      <c r="P31" s="176" t="n"/>
      <c r="Q31" s="176" t="n"/>
      <c r="R31" s="178">
        <f>(SUM(P6:P30)+SUM(R6:R30))/8+SUM(Q6:Q30)/6</f>
        <v/>
      </c>
      <c r="S31" s="176" t="n"/>
      <c r="T31" s="176" t="n"/>
      <c r="U31" s="178">
        <f>(SUM(S6:S30)+SUM(U6:U30))/8+SUM(T6:T30)/6</f>
        <v/>
      </c>
      <c r="V31" s="176" t="n"/>
      <c r="W31" s="176" t="n"/>
      <c r="X31" s="178">
        <f>(SUM(V6:V30)+SUM(X6:X30))/8+SUM(W6:W30)/6</f>
        <v/>
      </c>
      <c r="Y31" s="176" t="n"/>
      <c r="Z31" s="176" t="n"/>
      <c r="AA31" s="178">
        <f>(SUM(Y6:Y30)+SUM(AA6:AA30))/8+SUM(Z6:Z30)/6</f>
        <v/>
      </c>
      <c r="AB31" s="176" t="n"/>
      <c r="AC31" s="176" t="n"/>
      <c r="AD31" s="178">
        <f>(SUM(AB6:AB30)+SUM(AD6:AD30))/8+SUM(AC6:AC30)/6</f>
        <v/>
      </c>
      <c r="AE31" s="176" t="n"/>
      <c r="AF31" s="176" t="n"/>
      <c r="AG31" s="178">
        <f>(SUM(AE6:AE30)+SUM(AG6:AG30))/8+SUM(AF6:AF30)/6</f>
        <v/>
      </c>
      <c r="AH31" s="178" t="n"/>
      <c r="AI31" s="178" t="n"/>
      <c r="AJ31" s="178">
        <f>(SUM(AH6:AH30)+SUM(AJ6:AJ30))/8+SUM(AI6:AI30)/6</f>
        <v/>
      </c>
      <c r="AK31" s="178" t="n"/>
      <c r="AL31" s="178" t="n"/>
      <c r="AM31" s="178">
        <f>(SUM(AK6:AK30)+SUM(AM6:AM30))/8+SUM(AL6:AL30)/6</f>
        <v/>
      </c>
      <c r="AN31" s="178" t="n"/>
      <c r="AO31" s="178" t="n"/>
      <c r="AP31" s="178">
        <f>(SUM(AN6:AN30)+SUM(AP6:AP30))/8+SUM(AO6:AO30)/6</f>
        <v/>
      </c>
      <c r="AQ31" s="314">
        <f>SUM(AQ6:AQ30)</f>
        <v/>
      </c>
      <c r="AR31" s="314">
        <f>SUM(AR6:AR30)</f>
        <v/>
      </c>
    </row>
    <row r="32" ht="14.45" customHeight="1">
      <c r="D32" s="4" t="n"/>
      <c r="E32" s="313" t="n"/>
      <c r="F32" s="73" t="n"/>
      <c r="G32" s="73" t="n"/>
      <c r="H32" s="73" t="n"/>
      <c r="I32" s="73" t="n"/>
      <c r="J32" s="73" t="n"/>
      <c r="K32" s="24" t="n"/>
      <c r="L32" s="24" t="n"/>
      <c r="M32" s="313" t="n"/>
      <c r="N32" s="57" t="n"/>
    </row>
    <row r="33" ht="14.45" customHeight="1">
      <c r="D33" s="4" t="n"/>
      <c r="E33" s="313" t="n"/>
      <c r="F33" s="73" t="n"/>
      <c r="G33" s="73" t="n"/>
      <c r="H33" s="73" t="n"/>
      <c r="I33" s="73" t="n"/>
      <c r="J33" s="73" t="n"/>
      <c r="K33" s="24" t="n"/>
      <c r="L33" s="24" t="n"/>
      <c r="M33" s="313" t="n"/>
      <c r="N33" s="57" t="n"/>
    </row>
    <row r="34" ht="14.1" customHeight="1">
      <c r="F34" s="39" t="inlineStr">
        <is>
          <t>Total Cost in SAR</t>
        </is>
      </c>
      <c r="G34" s="39" t="n"/>
      <c r="H34" s="40" t="n"/>
      <c r="I34" s="40" t="n"/>
      <c r="J34" s="40" t="n"/>
      <c r="K34" s="40" t="n"/>
      <c r="L34" s="40" t="n"/>
      <c r="M34" s="40" t="n"/>
      <c r="N34" s="315">
        <f>AQ31*3.75</f>
        <v/>
      </c>
      <c r="P34" s="316" t="n"/>
    </row>
    <row r="35" ht="14.1" customHeight="1">
      <c r="F35" s="39" t="inlineStr">
        <is>
          <t xml:space="preserve">Average Cost per MD </t>
        </is>
      </c>
      <c r="G35" s="39" t="n"/>
      <c r="H35" s="40" t="n"/>
      <c r="I35" s="40" t="n"/>
      <c r="J35" s="40" t="n"/>
      <c r="K35" s="40" t="n"/>
      <c r="L35" s="40" t="n"/>
      <c r="M35" s="40" t="n"/>
      <c r="N35" s="315">
        <f>N34/AR31</f>
        <v/>
      </c>
      <c r="O35" s="296" t="n"/>
      <c r="P35" s="37" t="n"/>
    </row>
    <row r="37" ht="14.1" customHeight="1">
      <c r="D37" t="n">
        <v>10</v>
      </c>
      <c r="E37" t="n">
        <v>11</v>
      </c>
    </row>
    <row r="38" ht="14.1" customHeight="1">
      <c r="B38" s="131" t="inlineStr">
        <is>
          <t>Abdelrhman Doghish</t>
        </is>
      </c>
      <c r="C38" s="131" t="n">
        <v>112.25</v>
      </c>
      <c r="D38" t="n">
        <v>176</v>
      </c>
      <c r="E38" t="n">
        <v>168</v>
      </c>
    </row>
    <row r="39" ht="14.45" customHeight="1">
      <c r="B39" s="207" t="inlineStr">
        <is>
          <t>Talal Abdulwahed</t>
        </is>
      </c>
      <c r="C39" s="207" t="n">
        <v>112.25</v>
      </c>
      <c r="D39" t="n">
        <v>176</v>
      </c>
      <c r="E39" t="n">
        <v>168</v>
      </c>
    </row>
    <row r="40" ht="14.1" customHeight="1">
      <c r="B40" s="131" t="inlineStr">
        <is>
          <t>Abeer AbdelHameed</t>
        </is>
      </c>
      <c r="C40" s="131" t="n">
        <v>45.215</v>
      </c>
      <c r="D40" t="n">
        <v>176</v>
      </c>
      <c r="E40" t="n">
        <v>168</v>
      </c>
      <c r="N40" s="296" t="n"/>
    </row>
    <row r="41" ht="14.45" customHeight="1">
      <c r="B41" s="207" t="inlineStr">
        <is>
          <t>Bushra ElGhamdi</t>
        </is>
      </c>
      <c r="C41" s="207" t="n">
        <v>56.25</v>
      </c>
      <c r="D41" t="n">
        <v>176</v>
      </c>
      <c r="E41" t="n">
        <v>168</v>
      </c>
    </row>
    <row r="42" ht="14.45" customHeight="1">
      <c r="B42" s="207" t="inlineStr">
        <is>
          <t>Emad Elgabri</t>
        </is>
      </c>
      <c r="C42" s="207" t="n">
        <v>112.25</v>
      </c>
      <c r="D42" t="n">
        <v>176</v>
      </c>
      <c r="E42" t="n">
        <v>168</v>
      </c>
    </row>
    <row r="43" ht="14.1" customHeight="1">
      <c r="B43" s="131" t="inlineStr">
        <is>
          <t>Khaled Elbialy</t>
        </is>
      </c>
      <c r="C43" s="131" t="n">
        <v>51.63125</v>
      </c>
      <c r="D43" t="n">
        <v>176</v>
      </c>
      <c r="E43" t="n">
        <v>168</v>
      </c>
    </row>
    <row r="44" ht="14.45" customHeight="1">
      <c r="B44" s="207" t="inlineStr">
        <is>
          <t>Moahmed Ismail</t>
        </is>
      </c>
      <c r="C44" s="207" t="n">
        <v>112.25</v>
      </c>
      <c r="D44" t="n">
        <v>176</v>
      </c>
      <c r="E44" t="n">
        <v>168</v>
      </c>
    </row>
    <row r="45" ht="14.1" customHeight="1">
      <c r="B45" s="131" t="inlineStr">
        <is>
          <t>Shady Mahfouz</t>
        </is>
      </c>
      <c r="C45" s="131" t="n">
        <v>45.215</v>
      </c>
      <c r="D45" t="n">
        <v>176</v>
      </c>
      <c r="E45" t="n">
        <v>168</v>
      </c>
    </row>
    <row r="46" ht="14.1" customHeight="1">
      <c r="M46" s="37" t="n"/>
    </row>
    <row r="47" ht="14.45" customHeight="1">
      <c r="B47" s="207" t="inlineStr">
        <is>
          <t>Mohamed Foad</t>
        </is>
      </c>
      <c r="C47" s="207" t="n">
        <v>168.4</v>
      </c>
      <c r="D47" t="n">
        <v>166</v>
      </c>
      <c r="M47" s="37" t="n"/>
    </row>
    <row r="48" ht="14.1" customHeight="1">
      <c r="M48" s="37" t="n"/>
      <c r="N48" s="37" t="n"/>
    </row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5">
    <mergeCell ref="B1:D1"/>
    <mergeCell ref="M4:O4"/>
    <mergeCell ref="G4:I4"/>
    <mergeCell ref="J4:L4"/>
    <mergeCell ref="P4:R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0113FF"/>
    <outlinePr summaryBelow="1" summaryRight="1"/>
    <pageSetUpPr/>
  </sheetPr>
  <dimension ref="A1:AJ27"/>
  <sheetViews>
    <sheetView showGridLines="0" tabSelected="1" topLeftCell="A12" zoomScale="80" zoomScaleNormal="80" workbookViewId="0">
      <selection activeCell="J19" sqref="J19"/>
    </sheetView>
  </sheetViews>
  <sheetFormatPr baseColWidth="8" defaultRowHeight="14.1"/>
  <cols>
    <col width="19.375" customWidth="1" min="1" max="1"/>
    <col hidden="1" width="12.375" customWidth="1" min="2" max="2"/>
    <col width="13.125" bestFit="1" customWidth="1" min="3" max="4"/>
    <col width="12.375" customWidth="1" min="5" max="5"/>
    <col width="20.375" customWidth="1" min="6" max="6"/>
    <col width="15.25" bestFit="1" customWidth="1" min="7" max="7"/>
    <col width="11.375" customWidth="1" min="8" max="8"/>
    <col width="17" customWidth="1" min="9" max="9"/>
    <col width="19.75" customWidth="1" min="10" max="10"/>
    <col width="10.375" customWidth="1" min="11" max="11"/>
    <col width="12.375" customWidth="1" min="12" max="13"/>
    <col width="15.375" bestFit="1" customWidth="1" min="14" max="14"/>
    <col width="15.375" customWidth="1" min="15" max="16"/>
    <col width="16.75" bestFit="1" customWidth="1" min="17" max="17"/>
    <col width="13.375" bestFit="1" customWidth="1" min="18" max="18"/>
    <col width="0.375" customWidth="1" min="19" max="19"/>
    <col width="16.625" bestFit="1" customWidth="1" min="20" max="20"/>
    <col width="17.375" customWidth="1" min="21" max="21"/>
    <col width="16.375" customWidth="1" min="22" max="25"/>
    <col width="18.375" customWidth="1" min="26" max="26"/>
    <col width="12.375" bestFit="1" customWidth="1" min="27" max="27"/>
    <col width="13.375" customWidth="1" min="28" max="28"/>
    <col width="15.375" customWidth="1" min="29" max="31"/>
    <col width="13.375" customWidth="1" min="34" max="34"/>
    <col width="9.375" bestFit="1" customWidth="1" min="36" max="36"/>
  </cols>
  <sheetData>
    <row r="1" ht="31.5" customHeight="1">
      <c r="A1" s="133" t="inlineStr">
        <is>
          <t>Project Name</t>
        </is>
      </c>
      <c r="B1" s="135" t="n"/>
      <c r="C1" s="229" t="n"/>
      <c r="F1" s="136" t="inlineStr">
        <is>
          <t>PM Name</t>
        </is>
      </c>
      <c r="G1" s="229" t="n"/>
      <c r="I1" s="229" t="n"/>
      <c r="L1" s="1" t="n"/>
      <c r="M1" s="1" t="n"/>
      <c r="Y1" s="92" t="n"/>
    </row>
    <row r="2" ht="31.5" customHeight="1">
      <c r="A2" s="138" t="inlineStr">
        <is>
          <t>Contract Start Date</t>
        </is>
      </c>
      <c r="B2" s="139" t="n"/>
      <c r="C2" s="230" t="n"/>
      <c r="F2" s="138" t="inlineStr">
        <is>
          <t>Contract End Date</t>
        </is>
      </c>
      <c r="G2" s="230" t="n"/>
      <c r="I2" s="297" t="n"/>
      <c r="J2" s="136" t="inlineStr">
        <is>
          <t>Current Scope</t>
        </is>
      </c>
      <c r="K2" s="231" t="n"/>
      <c r="Y2" s="92" t="n"/>
    </row>
    <row r="3" ht="31.5" customHeight="1">
      <c r="A3" s="137" t="inlineStr">
        <is>
          <t>Support Start Date</t>
        </is>
      </c>
      <c r="B3" s="135" t="n"/>
      <c r="C3" s="232" t="n"/>
      <c r="F3" s="137" t="inlineStr">
        <is>
          <t>Support End Date</t>
        </is>
      </c>
      <c r="G3" s="229" t="n"/>
      <c r="I3" s="229" t="n"/>
      <c r="Y3" s="92" t="n"/>
    </row>
    <row r="4" ht="31.5" customHeight="1">
      <c r="A4" s="138" t="inlineStr">
        <is>
          <t>Licenses and 3rd party Revenue</t>
        </is>
      </c>
      <c r="B4" s="139" t="n"/>
      <c r="C4" s="297" t="n"/>
      <c r="F4" s="138" t="inlineStr">
        <is>
          <t>Licenses and 3rd party Cost</t>
        </is>
      </c>
      <c r="G4" s="297" t="n"/>
      <c r="I4" s="297" t="n"/>
      <c r="K4" s="1" t="n"/>
      <c r="L4" s="1" t="n"/>
      <c r="M4" s="1" t="n"/>
      <c r="Y4" s="92" t="n"/>
    </row>
    <row r="5" ht="20.45" customHeight="1" thickBot="1">
      <c r="A5" s="149" t="n"/>
      <c r="B5" s="143" t="n"/>
      <c r="C5" s="298" t="inlineStr">
        <is>
          <t>Presales Budget</t>
        </is>
      </c>
      <c r="D5" s="299" t="n"/>
      <c r="E5" s="300" t="n"/>
      <c r="F5" s="301" t="inlineStr">
        <is>
          <t>Current Month calculations</t>
        </is>
      </c>
      <c r="G5" s="299" t="n"/>
      <c r="H5" s="299" t="n"/>
      <c r="I5" s="299" t="n"/>
      <c r="J5" s="299" t="n"/>
      <c r="K5" s="299" t="n"/>
      <c r="L5" s="299" t="n"/>
      <c r="M5" s="299" t="n"/>
      <c r="N5" s="299" t="n"/>
      <c r="O5" s="302" t="n"/>
      <c r="P5" s="242" t="inlineStr">
        <is>
          <t xml:space="preserve">Cost Variance </t>
        </is>
      </c>
      <c r="Q5" s="299" t="n"/>
      <c r="R5" s="299" t="n"/>
      <c r="S5" s="234" t="n"/>
      <c r="T5" s="244" t="inlineStr">
        <is>
          <t>Profitability</t>
        </is>
      </c>
      <c r="U5" s="303" t="n"/>
      <c r="V5" s="303" t="n"/>
      <c r="W5" s="233" t="inlineStr">
        <is>
          <t>Profit Variance</t>
        </is>
      </c>
      <c r="X5" s="303" t="n"/>
      <c r="Y5" s="235" t="inlineStr">
        <is>
          <t>Progress and Virtual Invoices for fixed cost</t>
        </is>
      </c>
      <c r="Z5" s="299" t="n"/>
      <c r="AA5" s="299" t="n"/>
      <c r="AB5" s="299" t="n"/>
      <c r="AC5" s="299" t="n"/>
      <c r="AD5" s="299" t="n"/>
      <c r="AE5" s="208" t="n"/>
    </row>
    <row r="6" ht="44.1" customFormat="1" customHeight="1" s="11" thickBot="1">
      <c r="A6" s="150" t="inlineStr">
        <is>
          <t>Month</t>
        </is>
      </c>
      <c r="B6" s="85" t="inlineStr">
        <is>
          <t>Consumed Revenue</t>
        </is>
      </c>
      <c r="C6" s="85" t="inlineStr">
        <is>
          <t>Total Revenue (SAR)</t>
        </is>
      </c>
      <c r="D6" s="85" t="inlineStr">
        <is>
          <t>Total Estimated Cost (SAR)</t>
        </is>
      </c>
      <c r="E6" s="145" t="inlineStr">
        <is>
          <t>Estimated Effort MDs</t>
        </is>
      </c>
      <c r="F6" s="85" t="inlineStr">
        <is>
          <t>This month MDs</t>
        </is>
      </c>
      <c r="G6" s="85" t="inlineStr">
        <is>
          <t>Actual Effort to Date (MD)</t>
        </is>
      </c>
      <c r="H6" s="85" t="inlineStr">
        <is>
          <t>% Completion from plan</t>
        </is>
      </c>
      <c r="I6" s="85" t="inlineStr">
        <is>
          <t>Current Cost (SAR)</t>
        </is>
      </c>
      <c r="J6" s="85" t="inlineStr">
        <is>
          <t>Estimated Remaining (MD)</t>
        </is>
      </c>
      <c r="K6" s="85" t="inlineStr">
        <is>
          <t>EAC MDs</t>
        </is>
      </c>
      <c r="L6" s="85" t="inlineStr">
        <is>
          <t>Expected overrun (SAR)</t>
        </is>
      </c>
      <c r="M6" s="85" t="inlineStr">
        <is>
          <t>Revenue to date</t>
        </is>
      </c>
      <c r="N6" s="85" t="inlineStr">
        <is>
          <t>Estimated Cost to Complete</t>
        </is>
      </c>
      <c r="O6" s="145" t="inlineStr">
        <is>
          <t>Estimate at Completion</t>
        </is>
      </c>
      <c r="P6" s="85" t="inlineStr">
        <is>
          <t>CPI</t>
        </is>
      </c>
      <c r="Q6" s="85" t="inlineStr">
        <is>
          <t>Variance</t>
        </is>
      </c>
      <c r="R6" s="85" t="inlineStr">
        <is>
          <t>Variance (%)</t>
        </is>
      </c>
      <c r="S6" s="112" t="n"/>
      <c r="T6" s="85" t="inlineStr">
        <is>
          <t>Profit at Completion</t>
        </is>
      </c>
      <c r="U6" s="85" t="inlineStr">
        <is>
          <t>Planned Profit</t>
        </is>
      </c>
      <c r="V6" s="145" t="inlineStr">
        <is>
          <t>Profit at Completion (%)</t>
        </is>
      </c>
      <c r="W6" s="85" t="inlineStr">
        <is>
          <t>Profitability Variance</t>
        </is>
      </c>
      <c r="X6" s="145" t="inlineStr">
        <is>
          <t>Profitability Variance (%)</t>
        </is>
      </c>
      <c r="Y6" s="85" t="inlineStr">
        <is>
          <t>Total Issued Invoices (SAR)</t>
        </is>
      </c>
      <c r="Z6" s="85" t="inlineStr">
        <is>
          <t>Progress %</t>
        </is>
      </c>
      <c r="AA6" s="85" t="inlineStr">
        <is>
          <t>Total Recognized Revenue</t>
        </is>
      </c>
      <c r="AB6" s="85" t="inlineStr">
        <is>
          <t xml:space="preserve">Production
</t>
        </is>
      </c>
      <c r="AC6" s="85" t="inlineStr">
        <is>
          <t>Accumulative virtual invoice</t>
        </is>
      </c>
      <c r="AD6" s="85" t="inlineStr">
        <is>
          <t>This month Virtual Invoice</t>
        </is>
      </c>
      <c r="AE6" s="85" t="inlineStr">
        <is>
          <t>VI+Issued</t>
        </is>
      </c>
    </row>
    <row r="7" ht="15.6" customFormat="1" customHeight="1" s="184">
      <c r="A7" s="185" t="n"/>
      <c r="B7" s="186" t="n"/>
      <c r="C7" s="187" t="n"/>
      <c r="D7" s="187" t="n"/>
      <c r="E7" s="188" t="n"/>
      <c r="F7" s="186" t="n"/>
      <c r="G7" s="187" t="n"/>
      <c r="H7" s="187" t="n"/>
      <c r="I7" s="187" t="inlineStr">
        <is>
          <t>(7)</t>
        </is>
      </c>
      <c r="J7" s="187" t="inlineStr">
        <is>
          <t>(8)</t>
        </is>
      </c>
      <c r="K7" s="187" t="n"/>
      <c r="L7" s="187" t="n"/>
      <c r="M7" s="187" t="n"/>
      <c r="N7" s="187" t="inlineStr">
        <is>
          <t>(9)</t>
        </is>
      </c>
      <c r="O7" s="188" t="inlineStr">
        <is>
          <t>(10)</t>
        </is>
      </c>
      <c r="P7" s="189" t="n"/>
      <c r="Q7" s="186" t="inlineStr">
        <is>
          <t>(11)</t>
        </is>
      </c>
      <c r="R7" s="187" t="inlineStr">
        <is>
          <t>(12)</t>
        </is>
      </c>
      <c r="S7" s="187" t="n"/>
      <c r="T7" s="187" t="inlineStr">
        <is>
          <t>(13)</t>
        </is>
      </c>
      <c r="U7" s="189" t="n"/>
      <c r="V7" s="190" t="inlineStr">
        <is>
          <t>(14)</t>
        </is>
      </c>
      <c r="W7" s="186" t="inlineStr">
        <is>
          <t>(15)</t>
        </is>
      </c>
      <c r="X7" s="191" t="inlineStr">
        <is>
          <t>(16)</t>
        </is>
      </c>
      <c r="Y7" s="192" t="inlineStr">
        <is>
          <t>(17)</t>
        </is>
      </c>
      <c r="Z7" s="189" t="inlineStr">
        <is>
          <t>(18)</t>
        </is>
      </c>
      <c r="AA7" s="189" t="inlineStr">
        <is>
          <t>(19)</t>
        </is>
      </c>
      <c r="AB7" s="189" t="n"/>
      <c r="AC7" s="189" t="n"/>
      <c r="AD7" s="3" t="n"/>
      <c r="AE7" s="3" t="n"/>
    </row>
    <row r="8" ht="15.6" customHeight="1">
      <c r="A8" s="151" t="n">
        <v>45798</v>
      </c>
      <c r="B8" s="148" t="n"/>
      <c r="C8" s="87">
        <f>'Budget - Consultation'!$E$17</f>
        <v/>
      </c>
      <c r="D8" s="87">
        <f>'Budget - Consultation'!$E$16</f>
        <v/>
      </c>
      <c r="E8" s="146">
        <f>'Budget - Consultation'!$E$12</f>
        <v/>
      </c>
      <c r="F8" s="148">
        <f>'Current Effort - Consultation'!I31</f>
        <v/>
      </c>
      <c r="G8" s="87" t="n">
        <v>3.88</v>
      </c>
      <c r="H8" s="156" t="n">
        <v>0.01</v>
      </c>
      <c r="I8" s="202" t="n">
        <v>19573.59</v>
      </c>
      <c r="J8" s="155">
        <f>E8-G8</f>
        <v/>
      </c>
      <c r="K8" s="203">
        <f>J8+G8</f>
        <v/>
      </c>
      <c r="L8" s="132">
        <f>(G8/E8)/H8-100%</f>
        <v/>
      </c>
      <c r="M8" s="304">
        <f>H8*C8</f>
        <v/>
      </c>
      <c r="N8" s="88">
        <f>J8*'Current Effort - Consultation'!$N$35</f>
        <v/>
      </c>
      <c r="O8" s="159">
        <f>N8+I8</f>
        <v/>
      </c>
      <c r="P8" s="182">
        <f>D8/O8</f>
        <v/>
      </c>
      <c r="Q8" s="305">
        <f>'Budget - Consultation'!$I$15-O8</f>
        <v/>
      </c>
      <c r="R8" s="90">
        <f>Q8/'Budget - Consultation'!$I$16</f>
        <v/>
      </c>
      <c r="S8" s="113" t="n"/>
      <c r="T8" s="317">
        <f>'Budget - Consultation'!$I$16-O8</f>
        <v/>
      </c>
      <c r="U8" s="161">
        <f>'Budget - Consultation'!$E$19</f>
        <v/>
      </c>
      <c r="V8" s="162">
        <f>T8/'Budget - Consultation'!$I$16</f>
        <v/>
      </c>
      <c r="W8" s="305">
        <f>T8-'Budget - Consultation'!$I$17</f>
        <v/>
      </c>
      <c r="X8" s="161">
        <f>V8-'Budget - Consultation'!$I$18</f>
        <v/>
      </c>
      <c r="Y8" s="160" t="n">
        <v>0</v>
      </c>
      <c r="Z8" s="93">
        <f>H8</f>
        <v/>
      </c>
      <c r="AA8" s="318">
        <f>C8*Z8</f>
        <v/>
      </c>
      <c r="AB8" s="318">
        <f>AA8-AA7</f>
        <v/>
      </c>
      <c r="AC8" s="318">
        <f>AA8-Y8</f>
        <v/>
      </c>
      <c r="AD8" s="318">
        <f>AC8-AC7</f>
        <v/>
      </c>
      <c r="AE8" s="318">
        <f>AC8+Y8</f>
        <v/>
      </c>
    </row>
    <row r="9" ht="15.6" customHeight="1">
      <c r="A9" s="151" t="n">
        <v>45829</v>
      </c>
      <c r="B9" s="144" t="n"/>
      <c r="C9" s="87">
        <f>'Budget - Consultation'!$E$17</f>
        <v/>
      </c>
      <c r="D9" s="87">
        <f>'Budget - Consultation'!$E$16</f>
        <v/>
      </c>
      <c r="E9" s="146">
        <f>'Budget - Consultation'!$E$12</f>
        <v/>
      </c>
      <c r="F9" s="148">
        <f>'Current Effort - Consultation'!L31</f>
        <v/>
      </c>
      <c r="G9" s="87">
        <f>F9+G8</f>
        <v/>
      </c>
      <c r="H9" s="156" t="n">
        <v>0.02</v>
      </c>
      <c r="I9" s="202" t="n">
        <v>121184.57</v>
      </c>
      <c r="J9" s="155">
        <f>E9-G9</f>
        <v/>
      </c>
      <c r="K9" s="203">
        <f>J9+G9</f>
        <v/>
      </c>
      <c r="L9" s="132">
        <f>(G9/E9)/H9-100%</f>
        <v/>
      </c>
      <c r="M9" s="304">
        <f>H9*C9</f>
        <v/>
      </c>
      <c r="N9" s="88">
        <f>J9*'Current Effort - Consultation'!$N$35</f>
        <v/>
      </c>
      <c r="O9" s="159">
        <f>N9+I9</f>
        <v/>
      </c>
      <c r="P9" s="182">
        <f>D9/O9</f>
        <v/>
      </c>
      <c r="Q9" s="305">
        <f>'Budget - Consultation'!$I$15-O9</f>
        <v/>
      </c>
      <c r="R9" s="90">
        <f>Q9/'Budget - Consultation'!$I$16</f>
        <v/>
      </c>
      <c r="S9" s="113" t="n"/>
      <c r="T9" s="317">
        <f>'Budget - Consultation'!$I$16-O9</f>
        <v/>
      </c>
      <c r="U9" s="161">
        <f>'Budget - Consultation'!$E$19</f>
        <v/>
      </c>
      <c r="V9" s="162">
        <f>T9/'Budget - Consultation'!$I$16</f>
        <v/>
      </c>
      <c r="W9" s="305">
        <f>T9-'Budget - Consultation'!$I$17</f>
        <v/>
      </c>
      <c r="X9" s="161">
        <f>V9-'Budget - Consultation'!$I$18</f>
        <v/>
      </c>
      <c r="Y9" s="160" t="n">
        <v>0</v>
      </c>
      <c r="Z9" s="93">
        <f>H9</f>
        <v/>
      </c>
      <c r="AA9" s="318">
        <f>C9*H9</f>
        <v/>
      </c>
      <c r="AB9" s="318">
        <f>AA9-AA8</f>
        <v/>
      </c>
      <c r="AC9" s="318">
        <f>AA9-Y9</f>
        <v/>
      </c>
      <c r="AD9" s="318">
        <f>AC9-AC8</f>
        <v/>
      </c>
      <c r="AE9" s="318">
        <f>AC9+Y9</f>
        <v/>
      </c>
    </row>
    <row r="10" ht="15.6" customHeight="1">
      <c r="A10" s="151" t="n">
        <v>45859</v>
      </c>
      <c r="B10" s="144" t="n"/>
      <c r="C10" s="87">
        <f>'Budget - Consultation'!$E$17</f>
        <v/>
      </c>
      <c r="D10" s="87">
        <f>'Budget - Consultation'!$E$16</f>
        <v/>
      </c>
      <c r="E10" s="146">
        <f>'Budget - Consultation'!$E$12</f>
        <v/>
      </c>
      <c r="F10" s="148">
        <f>'Current Effort - Consultation'!O31</f>
        <v/>
      </c>
      <c r="G10" s="87">
        <f>F10+G9</f>
        <v/>
      </c>
      <c r="H10" s="156" t="n">
        <v>0.08</v>
      </c>
      <c r="I10" s="202" t="n">
        <v>454192.88</v>
      </c>
      <c r="J10" s="155">
        <f>E10-G10</f>
        <v/>
      </c>
      <c r="K10" s="203">
        <f>J10+G10</f>
        <v/>
      </c>
      <c r="L10" s="132">
        <f>(G10/E10)/H10-100%</f>
        <v/>
      </c>
      <c r="M10" s="304">
        <f>H10*C10</f>
        <v/>
      </c>
      <c r="N10" s="88">
        <f>J10*'Current Effort - Consultation'!$N$35</f>
        <v/>
      </c>
      <c r="O10" s="159">
        <f>N10+I10</f>
        <v/>
      </c>
      <c r="P10" s="182">
        <f>D10/O10</f>
        <v/>
      </c>
      <c r="Q10" s="305">
        <f>'Budget - Consultation'!$I$15-O10</f>
        <v/>
      </c>
      <c r="R10" s="90">
        <f>Q10/'Budget - Consultation'!$I$16</f>
        <v/>
      </c>
      <c r="S10" s="114" t="n"/>
      <c r="T10" s="317">
        <f>'Budget - Consultation'!$I$16-O10</f>
        <v/>
      </c>
      <c r="U10" s="161">
        <f>'Budget - Consultation'!$E$19</f>
        <v/>
      </c>
      <c r="V10" s="162">
        <f>T10/'Budget - Consultation'!$I$16</f>
        <v/>
      </c>
      <c r="W10" s="305">
        <f>T10-'Budget - Consultation'!$I$17</f>
        <v/>
      </c>
      <c r="X10" s="161">
        <f>V10-'Budget - Consultation'!$I$18</f>
        <v/>
      </c>
      <c r="Y10" s="160" t="n">
        <v>0</v>
      </c>
      <c r="Z10" s="93">
        <f>H10</f>
        <v/>
      </c>
      <c r="AA10" s="318">
        <f>C10*H10</f>
        <v/>
      </c>
      <c r="AB10" s="318">
        <f>AA10-AA9</f>
        <v/>
      </c>
      <c r="AC10" s="318">
        <f>AA10-Y10</f>
        <v/>
      </c>
      <c r="AD10" s="318">
        <f>AC10-AC9</f>
        <v/>
      </c>
      <c r="AE10" s="318">
        <f>AC10+Y10</f>
        <v/>
      </c>
    </row>
    <row r="11" ht="13.5" customHeight="1">
      <c r="A11" s="151" t="n">
        <v>45890</v>
      </c>
      <c r="B11" s="144" t="n"/>
      <c r="C11" s="87">
        <f>'Budget - Consultation'!$E$17</f>
        <v/>
      </c>
      <c r="D11" s="87">
        <f>'Budget - Consultation'!$E$16</f>
        <v/>
      </c>
      <c r="E11" s="146">
        <f>'Budget - Consultation'!$E$12</f>
        <v/>
      </c>
      <c r="F11" s="148">
        <f>'Current Effort - Consultation'!R31</f>
        <v/>
      </c>
      <c r="G11" s="87">
        <f>F11+G10</f>
        <v/>
      </c>
      <c r="H11" s="156" t="n">
        <v>0.18</v>
      </c>
      <c r="I11" s="202" t="n">
        <v>807937.078125</v>
      </c>
      <c r="J11" s="155">
        <f>E11-G11</f>
        <v/>
      </c>
      <c r="K11" s="203">
        <f>J11+G11</f>
        <v/>
      </c>
      <c r="L11" s="132">
        <f>(G11/E11)/H11-100%</f>
        <v/>
      </c>
      <c r="M11" s="304">
        <f>H11*C11</f>
        <v/>
      </c>
      <c r="N11" s="88">
        <f>J11*'Current Effort - Consultation'!$N$35</f>
        <v/>
      </c>
      <c r="O11" s="159">
        <f>N11+I11</f>
        <v/>
      </c>
      <c r="P11" s="182">
        <f>D11/O11</f>
        <v/>
      </c>
      <c r="Q11" s="305">
        <f>'Budget - Consultation'!$I$15-O11</f>
        <v/>
      </c>
      <c r="R11" s="90">
        <f>Q11/'Budget - Consultation'!$I$16</f>
        <v/>
      </c>
      <c r="S11" s="114" t="n"/>
      <c r="T11" s="317">
        <f>'Budget - Consultation'!$I$16-O11</f>
        <v/>
      </c>
      <c r="U11" s="161">
        <f>'Budget - Consultation'!$E$19</f>
        <v/>
      </c>
      <c r="V11" s="162">
        <f>T11/'Budget - Consultation'!$I$16</f>
        <v/>
      </c>
      <c r="W11" s="305">
        <f>T11-'Budget - Consultation'!$I$17</f>
        <v/>
      </c>
      <c r="X11" s="161">
        <f>V11-'Budget - Consultation'!$I$18</f>
        <v/>
      </c>
      <c r="Y11" s="204" t="n">
        <v>0</v>
      </c>
      <c r="Z11" s="93">
        <f>H11</f>
        <v/>
      </c>
      <c r="AA11" s="318">
        <f>C11*H11</f>
        <v/>
      </c>
      <c r="AB11" s="318">
        <f>AA11-AA10</f>
        <v/>
      </c>
      <c r="AC11" s="318">
        <f>AA11-Y11</f>
        <v/>
      </c>
      <c r="AD11" s="318">
        <f>AC11-AC10</f>
        <v/>
      </c>
      <c r="AE11" s="318">
        <f>AC11+Y11</f>
        <v/>
      </c>
      <c r="AJ11" s="205" t="n"/>
    </row>
    <row r="12" ht="15.6" customHeight="1">
      <c r="A12" s="151" t="n">
        <v>45921</v>
      </c>
      <c r="B12" s="144" t="n"/>
      <c r="C12" s="87" t="n">
        <v>6641250</v>
      </c>
      <c r="D12" s="87" t="n">
        <v>4811400</v>
      </c>
      <c r="E12" s="146" t="n">
        <v>1848</v>
      </c>
      <c r="F12" s="148" t="n">
        <v>166.25</v>
      </c>
      <c r="G12" s="87">
        <f>F12+G11</f>
        <v/>
      </c>
      <c r="H12" s="156" t="n">
        <v>0.25</v>
      </c>
      <c r="I12" s="202" t="n">
        <v>1224457.059375</v>
      </c>
      <c r="J12" s="155" t="n">
        <v>1678.25</v>
      </c>
      <c r="K12" s="203">
        <f>J12+G12</f>
        <v/>
      </c>
      <c r="L12" s="132">
        <f>(G12/E12)/H12-100%</f>
        <v/>
      </c>
      <c r="M12" s="304" t="n">
        <v>1660312.5</v>
      </c>
      <c r="N12" s="88" t="n">
        <v>4111431.906757221</v>
      </c>
      <c r="O12" s="159" t="n">
        <v>5335888.96613222</v>
      </c>
      <c r="P12" s="182" t="n">
        <v>0.9017054197601864</v>
      </c>
      <c r="Q12" s="305" t="n">
        <v>-524488.9661322199</v>
      </c>
      <c r="R12" s="90" t="n">
        <v>-0.07897443495309164</v>
      </c>
      <c r="S12" s="114" t="n"/>
      <c r="T12" s="317" t="n">
        <v>1305361.03386778</v>
      </c>
      <c r="U12" s="161" t="n">
        <v>0.275527950310559</v>
      </c>
      <c r="V12" s="162" t="n">
        <v>0.1965535153574674</v>
      </c>
      <c r="W12" s="305" t="n">
        <v>-524488.9661322199</v>
      </c>
      <c r="X12" s="161" t="n">
        <v>-0.07897443495309162</v>
      </c>
      <c r="Y12" s="204" t="n">
        <v>0</v>
      </c>
      <c r="Z12" s="93">
        <f>I12/O12</f>
        <v/>
      </c>
      <c r="AA12" s="318">
        <f>C12*H12</f>
        <v/>
      </c>
      <c r="AB12" s="318">
        <f>AA12-AA11</f>
        <v/>
      </c>
      <c r="AC12" s="318">
        <f>AA12-Y12</f>
        <v/>
      </c>
      <c r="AD12" s="318">
        <f>AC12-AC11</f>
        <v/>
      </c>
      <c r="AE12" s="318">
        <f>AC12+Y12</f>
        <v/>
      </c>
    </row>
    <row r="13" ht="15.6" customHeight="1">
      <c r="A13" s="151" t="n">
        <v>45951</v>
      </c>
      <c r="B13" s="144" t="n"/>
      <c r="C13" s="87" t="n">
        <v>6641250</v>
      </c>
      <c r="D13" s="87" t="n">
        <v>4811400</v>
      </c>
      <c r="E13" s="146" t="n">
        <v>1848</v>
      </c>
      <c r="F13" s="148" t="n">
        <v>168</v>
      </c>
      <c r="G13" s="87">
        <f>F13+G12</f>
        <v/>
      </c>
      <c r="H13" s="156" t="n">
        <v>0.35</v>
      </c>
      <c r="I13" s="202" t="n">
        <v>1616092.3875</v>
      </c>
      <c r="J13" s="155" t="n">
        <v>1181</v>
      </c>
      <c r="K13" s="203">
        <f>J13+G13</f>
        <v/>
      </c>
      <c r="L13" s="132">
        <f>(G13/E13)/H13-100%</f>
        <v/>
      </c>
      <c r="M13" s="304">
        <f>H13*C13</f>
        <v/>
      </c>
      <c r="N13" s="88" t="n">
        <v>2857995.48471689</v>
      </c>
      <c r="O13" s="159" t="n">
        <v>4474087.87221689</v>
      </c>
      <c r="P13" s="182" t="n">
        <v>1.075392378830497</v>
      </c>
      <c r="Q13" s="305" t="n">
        <v>337312.1277831076</v>
      </c>
      <c r="R13" s="90" t="n">
        <v>0.05079045778778205</v>
      </c>
      <c r="S13" s="114" t="n"/>
      <c r="T13" s="317" t="n">
        <v>2167162.127783108</v>
      </c>
      <c r="U13" s="161" t="n">
        <v>0.275527950310559</v>
      </c>
      <c r="V13" s="162" t="n">
        <v>0.3263184080983411</v>
      </c>
      <c r="W13" s="305" t="n">
        <v>337312.1277831076</v>
      </c>
      <c r="X13" s="161" t="n">
        <v>0.05079045778778207</v>
      </c>
      <c r="Y13" s="204" t="n">
        <v>0</v>
      </c>
      <c r="Z13" s="93" t="n">
        <v>0.3612115885196579</v>
      </c>
      <c r="AA13" s="318" t="n">
        <v>2324437.5</v>
      </c>
      <c r="AB13" s="318">
        <f>AA13-AA12</f>
        <v/>
      </c>
      <c r="AC13" s="318" t="n">
        <v>2324437.5</v>
      </c>
      <c r="AD13" s="318">
        <f>AC13-AC12</f>
        <v/>
      </c>
      <c r="AE13" s="318">
        <f>AC13+Y13</f>
        <v/>
      </c>
    </row>
    <row r="14" ht="15.6" customHeight="1">
      <c r="A14" s="151" t="n">
        <v>45982</v>
      </c>
      <c r="B14" s="144" t="n"/>
      <c r="C14" s="87" t="n">
        <v>6641250</v>
      </c>
      <c r="D14" s="87" t="n">
        <v>4811400</v>
      </c>
      <c r="E14" s="146" t="n">
        <v>1848</v>
      </c>
      <c r="F14" s="148" t="n">
        <v>214.875</v>
      </c>
      <c r="G14" s="87">
        <f>F14+G13</f>
        <v/>
      </c>
      <c r="H14" s="156" t="n">
        <v>0.48</v>
      </c>
      <c r="I14" s="202" t="n">
        <v>2067058.9125</v>
      </c>
      <c r="J14" s="155" t="n">
        <v>955</v>
      </c>
      <c r="K14" s="203">
        <f>J14+G14</f>
        <v/>
      </c>
      <c r="L14" s="132">
        <f>(G14/E14)/H14-100%</f>
        <v/>
      </c>
      <c r="M14" s="304">
        <f>H14*C14</f>
        <v/>
      </c>
      <c r="N14" s="88" t="n">
        <v>2236398.79508603</v>
      </c>
      <c r="O14" s="159" t="n">
        <v>4303457.70758603</v>
      </c>
      <c r="P14" s="182" t="n">
        <v>1.118031203494479</v>
      </c>
      <c r="Q14" s="305" t="n">
        <v>507942.2924139705</v>
      </c>
      <c r="R14" s="90" t="n">
        <v>0.07648293505198124</v>
      </c>
      <c r="S14" s="114" t="n"/>
      <c r="T14" s="317" t="n">
        <v>2337792.29241397</v>
      </c>
      <c r="U14" s="161" t="n">
        <v>0.275527950310559</v>
      </c>
      <c r="V14" s="162" t="n">
        <v>0.3520108853625403</v>
      </c>
      <c r="W14" s="305" t="n">
        <v>507942.2924139705</v>
      </c>
      <c r="X14" s="161" t="n">
        <v>0.07648293505198128</v>
      </c>
      <c r="Y14" s="204" t="n">
        <v>0</v>
      </c>
      <c r="Z14" s="93" t="n">
        <v>0.4803251368907935</v>
      </c>
      <c r="AA14" s="318" t="n">
        <v>3187800</v>
      </c>
      <c r="AB14" s="318" t="n">
        <v>863362.5</v>
      </c>
      <c r="AC14" s="318" t="n">
        <v>3187800</v>
      </c>
      <c r="AD14" s="318">
        <f>AC14-AC13</f>
        <v/>
      </c>
      <c r="AE14" s="318" t="n">
        <v>3187800</v>
      </c>
    </row>
    <row r="15" ht="15.6" customHeight="1">
      <c r="A15" s="151" t="n">
        <v>46012</v>
      </c>
      <c r="B15" s="144" t="n"/>
      <c r="C15" s="87" t="n">
        <v>6641250</v>
      </c>
      <c r="D15" s="87" t="n">
        <v>4811400</v>
      </c>
      <c r="E15" s="146" t="n">
        <v>1848</v>
      </c>
      <c r="F15" s="148" t="n">
        <v>188.125</v>
      </c>
      <c r="G15" s="87">
        <f>F15+G14</f>
        <v/>
      </c>
      <c r="H15" s="156" t="n">
        <v>0.58</v>
      </c>
      <c r="I15" s="202" t="n">
        <v>2467746.075</v>
      </c>
      <c r="J15" s="155" t="n">
        <v>755.6</v>
      </c>
      <c r="K15" s="203" t="n">
        <v>1826.4175</v>
      </c>
      <c r="L15" s="132" t="n">
        <v>-0.0009539670100012776</v>
      </c>
      <c r="M15" s="304">
        <f>H15*C15</f>
        <v/>
      </c>
      <c r="N15" s="88" t="n">
        <v>1741321.598571179</v>
      </c>
      <c r="O15" s="159" t="n">
        <v>4209067.673571179</v>
      </c>
      <c r="P15" s="182" t="n">
        <v>1.143103502519306</v>
      </c>
      <c r="Q15" s="305" t="n">
        <v>602332.3264288213</v>
      </c>
      <c r="R15" s="90" t="n">
        <v>0.09069562603859534</v>
      </c>
      <c r="S15" s="114" t="n"/>
      <c r="T15" s="317" t="n">
        <v>2432182.326428821</v>
      </c>
      <c r="U15" s="161" t="n">
        <v>0.275527950310559</v>
      </c>
      <c r="V15" s="162" t="n">
        <v>0.3662235763491544</v>
      </c>
      <c r="W15" s="305" t="n">
        <v>602332.3264288213</v>
      </c>
      <c r="X15" s="161" t="n">
        <v>0.09069562603859538</v>
      </c>
      <c r="Y15" s="204" t="n">
        <v>931607.14</v>
      </c>
      <c r="Z15" s="93" t="n">
        <v>0.5862928007774805</v>
      </c>
      <c r="AA15" s="318" t="n">
        <v>3851925</v>
      </c>
      <c r="AB15" s="318" t="n">
        <v>664124.9999999995</v>
      </c>
      <c r="AC15" s="318" t="n">
        <v>2920317.859999999</v>
      </c>
      <c r="AD15" s="318" t="n">
        <v>-267482.1400000006</v>
      </c>
      <c r="AE15" s="318" t="n">
        <v>3851925</v>
      </c>
    </row>
    <row r="16" ht="15.6" customHeight="1">
      <c r="A16" s="151" t="n">
        <v>46043</v>
      </c>
      <c r="B16" s="144" t="n"/>
      <c r="C16" s="87" t="n">
        <v>6641250</v>
      </c>
      <c r="D16" s="87" t="n">
        <v>4811400</v>
      </c>
      <c r="E16" s="146" t="n">
        <v>1848</v>
      </c>
      <c r="F16" s="148" t="n">
        <v>169.375</v>
      </c>
      <c r="G16" s="87">
        <f>F16+G15</f>
        <v/>
      </c>
      <c r="H16" s="156" t="n">
        <v>0.66</v>
      </c>
      <c r="I16" s="202" t="n">
        <v>2897830.74375</v>
      </c>
      <c r="J16" s="155" t="n">
        <v>807.5</v>
      </c>
      <c r="K16" s="203" t="n">
        <v>2047.6875</v>
      </c>
      <c r="L16" s="132" t="n">
        <v>0.01681383641610923</v>
      </c>
      <c r="M16" s="304">
        <f>H16*C16</f>
        <v/>
      </c>
      <c r="N16" s="88" t="n">
        <v>1886810.119903744</v>
      </c>
      <c r="O16" s="159" t="n">
        <v>4784640.863653745</v>
      </c>
      <c r="P16" s="182" t="n">
        <v>1.005592715756271</v>
      </c>
      <c r="Q16" s="305" t="n">
        <v>26759.13634625543</v>
      </c>
      <c r="R16" s="90" t="n">
        <v>0.004029231898551543</v>
      </c>
      <c r="S16" s="114" t="n"/>
      <c r="T16" s="317" t="n">
        <v>1856609.136346255</v>
      </c>
      <c r="U16" s="161" t="n">
        <v>0.275527950310559</v>
      </c>
      <c r="V16" s="162" t="n">
        <v>0.2795571822091105</v>
      </c>
      <c r="W16" s="305" t="n">
        <v>26759.13634625543</v>
      </c>
      <c r="X16" s="161" t="n">
        <v>0.004029231898551533</v>
      </c>
      <c r="Y16" s="204" t="n">
        <v>931607.14</v>
      </c>
      <c r="Z16" s="93" t="n">
        <v>0.6056527180050667</v>
      </c>
      <c r="AA16" s="318" t="n">
        <v>4383225</v>
      </c>
      <c r="AB16" s="318" t="n">
        <v>531300.0000000005</v>
      </c>
      <c r="AC16" s="318" t="n">
        <v>3451617.86</v>
      </c>
      <c r="AD16" s="318" t="n">
        <v>531300.0000000005</v>
      </c>
      <c r="AE16" s="318" t="n">
        <v>4383225</v>
      </c>
      <c r="AF16" s="316">
        <f>AA19-AA15</f>
        <v/>
      </c>
      <c r="AG16" s="316">
        <f>AC19-AC15</f>
        <v/>
      </c>
    </row>
    <row r="17" ht="15.6" customHeight="1">
      <c r="A17" s="151" t="n">
        <v>46074</v>
      </c>
      <c r="B17" s="144" t="n"/>
      <c r="C17" s="87" t="n">
        <v>6641250</v>
      </c>
      <c r="D17" s="87" t="n">
        <v>4811400</v>
      </c>
      <c r="E17" s="146" t="n">
        <v>1848</v>
      </c>
      <c r="F17" s="148">
        <f>'Current Effort - Consultation'!AJ31</f>
        <v/>
      </c>
      <c r="G17" s="87">
        <f>F17+G16</f>
        <v/>
      </c>
      <c r="H17" s="156" t="n">
        <v>0.62</v>
      </c>
      <c r="I17" s="202" t="n">
        <v>3483382.18359375</v>
      </c>
      <c r="J17" s="155" t="n">
        <v>849</v>
      </c>
      <c r="K17" s="203" t="n">
        <v>2205</v>
      </c>
      <c r="L17" s="132" t="n">
        <v>0.1834939254294092</v>
      </c>
      <c r="M17" s="304">
        <f>H17*C17</f>
        <v/>
      </c>
      <c r="N17" s="88" t="n">
        <v>2180967.16362175</v>
      </c>
      <c r="O17" s="159" t="n">
        <v>5664349.3472155</v>
      </c>
      <c r="P17" s="182" t="n">
        <v>0.8494179481294183</v>
      </c>
      <c r="Q17" s="305" t="n">
        <v>-852949.3472154997</v>
      </c>
      <c r="R17" s="90" t="n">
        <v>-0.1284320492701675</v>
      </c>
      <c r="S17" s="114" t="n"/>
      <c r="T17" s="317" t="n">
        <v>976900.6527845003</v>
      </c>
      <c r="U17" s="161" t="n">
        <v>0.275527950310559</v>
      </c>
      <c r="V17" s="162" t="n">
        <v>0.1470959010403915</v>
      </c>
      <c r="W17" s="305" t="n">
        <v>-852949.3472154997</v>
      </c>
      <c r="X17" s="161" t="n">
        <v>-0.1284320492701675</v>
      </c>
      <c r="Y17" s="204" t="n">
        <v>1863214.28</v>
      </c>
      <c r="Z17" s="93" t="n">
        <v>0.6149659863945578</v>
      </c>
      <c r="AA17" s="318" t="n">
        <v>4117575</v>
      </c>
      <c r="AB17" s="318" t="n">
        <v>-265650</v>
      </c>
      <c r="AC17" s="318" t="n">
        <v>2254360.72</v>
      </c>
      <c r="AD17" s="318" t="n">
        <v>-1197257.14</v>
      </c>
      <c r="AE17" s="318" t="n">
        <v>4117575</v>
      </c>
    </row>
    <row r="18" ht="15.6" customHeight="1">
      <c r="A18" s="151" t="n">
        <v>46102</v>
      </c>
      <c r="B18" s="144" t="n"/>
      <c r="C18" s="87" t="n">
        <v>6641250</v>
      </c>
      <c r="D18" s="87" t="n">
        <v>4811400</v>
      </c>
      <c r="E18" s="146" t="n">
        <v>1848</v>
      </c>
      <c r="F18" s="148">
        <f>'Current Effort - Consultation'!AM31</f>
        <v/>
      </c>
      <c r="G18" s="87" t="n">
        <v>1538.38</v>
      </c>
      <c r="H18" s="156" t="n">
        <v>0.66</v>
      </c>
      <c r="I18" s="202" t="n">
        <v>3903237</v>
      </c>
      <c r="J18" s="155" t="n">
        <v>771.5</v>
      </c>
      <c r="K18" s="203">
        <f>J18+G18</f>
        <v/>
      </c>
      <c r="L18" s="132">
        <f>(G18/E18)/H18-100%</f>
        <v/>
      </c>
      <c r="M18" s="304">
        <f>H18*C18</f>
        <v/>
      </c>
      <c r="N18" s="88" t="n">
        <v>1954833.654830838</v>
      </c>
      <c r="O18" s="159">
        <f>N18+I18</f>
        <v/>
      </c>
      <c r="P18" s="182">
        <f>D18/O18</f>
        <v/>
      </c>
      <c r="Q18" s="305">
        <f>'Budget - Consultation'!$I$15-O18</f>
        <v/>
      </c>
      <c r="R18" s="90">
        <f>Q18/'Budget - Consultation'!$I$16</f>
        <v/>
      </c>
      <c r="S18" s="114" t="n"/>
      <c r="T18" s="317">
        <f>'Budget - Consultation'!$I$16-O18</f>
        <v/>
      </c>
      <c r="U18" s="161" t="n">
        <v>0.275527950310559</v>
      </c>
      <c r="V18" s="162">
        <f>T18/'Budget - Consultation'!$I$16</f>
        <v/>
      </c>
      <c r="W18" s="305">
        <f>T18-'Budget - Consultation'!$I$17</f>
        <v/>
      </c>
      <c r="X18" s="161">
        <f>V18-'Budget - Consultation'!$I$18</f>
        <v/>
      </c>
      <c r="Y18" s="204" t="n">
        <v>1863214.28</v>
      </c>
      <c r="Z18" s="93" t="n">
        <v>0.6659992423832458</v>
      </c>
      <c r="AA18" s="318" t="n">
        <v>4383225</v>
      </c>
      <c r="AB18" s="318">
        <f>AA18-AA17</f>
        <v/>
      </c>
      <c r="AC18" s="318" t="n">
        <v>2520010.72</v>
      </c>
      <c r="AD18" s="318">
        <f>AC18-AC17</f>
        <v/>
      </c>
      <c r="AE18" s="318" t="n">
        <v>4383225</v>
      </c>
      <c r="AF18" s="218">
        <f>AC19-AC15</f>
        <v/>
      </c>
      <c r="AG18">
        <f>AA19-AA15</f>
        <v/>
      </c>
    </row>
    <row r="19" ht="15.6" customHeight="1">
      <c r="A19" s="151" t="n">
        <v>46133</v>
      </c>
      <c r="B19" s="144" t="n"/>
      <c r="C19" s="87" t="n">
        <v>6641250</v>
      </c>
      <c r="D19" s="87" t="n">
        <v>4811400</v>
      </c>
      <c r="E19" s="146" t="n">
        <v>1848</v>
      </c>
      <c r="F19" s="148">
        <f>'Current Effort - Consultation'!AP31</f>
        <v/>
      </c>
      <c r="G19" s="87">
        <f>'Current Effort - Consultation'!AR31</f>
        <v/>
      </c>
      <c r="H19" s="156" t="n">
        <v>0.6899999999999999</v>
      </c>
      <c r="I19" s="202">
        <f>'Current Effort - Consultation'!N34</f>
        <v/>
      </c>
      <c r="J19" s="155" t="n"/>
      <c r="K19" s="203">
        <f>J19+G19</f>
        <v/>
      </c>
      <c r="L19" s="132">
        <f>(G19/E19)/H19-100%</f>
        <v/>
      </c>
      <c r="M19" s="304">
        <f>H19*C19</f>
        <v/>
      </c>
      <c r="N19" s="88">
        <f>J19*'Current Effort - Consultation'!$N$35</f>
        <v/>
      </c>
      <c r="O19" s="159">
        <f>N19+I19</f>
        <v/>
      </c>
      <c r="P19" s="182">
        <f>D19/O19</f>
        <v/>
      </c>
      <c r="Q19" s="305">
        <f>'Budget - Consultation'!$I$15-O19</f>
        <v/>
      </c>
      <c r="R19" s="90">
        <f>Q19/'Budget - Consultation'!$I$16</f>
        <v/>
      </c>
      <c r="S19" s="114" t="n"/>
      <c r="T19" s="317">
        <f>'Budget - Consultation'!$I$16-O19</f>
        <v/>
      </c>
      <c r="U19" s="161">
        <f>'Budget - Consultation'!$E$19</f>
        <v/>
      </c>
      <c r="V19" s="162">
        <f>T19/'Budget - Consultation'!$I$16</f>
        <v/>
      </c>
      <c r="W19" s="305">
        <f>T19-'Budget - Consultation'!$I$17</f>
        <v/>
      </c>
      <c r="X19" s="161">
        <f>V19-'Budget - Consultation'!$I$18</f>
        <v/>
      </c>
      <c r="Y19" s="204">
        <f>931607.14+931607.14+1863214</f>
        <v/>
      </c>
      <c r="Z19" s="93">
        <f>I19/O19</f>
        <v/>
      </c>
      <c r="AA19" s="318">
        <f>C19*H19</f>
        <v/>
      </c>
      <c r="AB19" s="318">
        <f>AA19-AA18</f>
        <v/>
      </c>
      <c r="AC19" s="318">
        <f>AA19-Y19</f>
        <v/>
      </c>
      <c r="AD19" s="318">
        <f>AC19-AC18</f>
        <v/>
      </c>
      <c r="AE19" s="318">
        <f>AC19+Y19</f>
        <v/>
      </c>
      <c r="AF19" s="218" t="n"/>
    </row>
    <row r="20" ht="15.6" customHeight="1">
      <c r="A20" s="151" t="n"/>
      <c r="B20" s="144" t="n"/>
      <c r="C20" s="152" t="n"/>
      <c r="D20" s="152" t="n"/>
      <c r="E20" s="153" t="n"/>
      <c r="F20" s="157" t="n"/>
      <c r="G20" s="215" t="n"/>
      <c r="H20" s="152" t="n"/>
      <c r="I20" s="152" t="n"/>
      <c r="J20" s="152" t="n"/>
      <c r="K20" s="91" t="n"/>
      <c r="L20" s="91" t="n"/>
      <c r="M20" s="318" t="n"/>
      <c r="N20" s="91" t="n"/>
      <c r="O20" s="147" t="n"/>
      <c r="P20" s="183" t="n"/>
      <c r="Q20" s="144" t="n"/>
      <c r="R20" s="91" t="n"/>
      <c r="S20" s="114" t="n"/>
      <c r="T20" s="91" t="n"/>
      <c r="U20" s="142" t="n"/>
      <c r="V20" s="147" t="n"/>
      <c r="W20" s="144" t="n"/>
      <c r="X20" s="147" t="n"/>
      <c r="Y20" s="144" t="n"/>
      <c r="Z20" s="91" t="n"/>
      <c r="AA20" s="318" t="n"/>
      <c r="AB20" s="91" t="n"/>
      <c r="AC20" s="91" t="n"/>
      <c r="AD20" s="91" t="n"/>
      <c r="AE20" s="91" t="n"/>
    </row>
    <row r="21" ht="15.6" customHeight="1">
      <c r="A21" s="151" t="n"/>
      <c r="B21" s="142" t="n"/>
      <c r="C21" s="154" t="n"/>
      <c r="D21" s="152" t="n"/>
      <c r="E21" s="153" t="n"/>
      <c r="F21" s="157" t="n"/>
      <c r="G21" s="152" t="n"/>
      <c r="H21" s="152" t="n"/>
      <c r="I21" s="152" t="n"/>
      <c r="J21" s="152" t="n"/>
      <c r="K21" s="91" t="n"/>
      <c r="L21" s="91" t="n"/>
      <c r="M21" s="318" t="n"/>
      <c r="N21" s="91" t="n"/>
      <c r="O21" s="142" t="n"/>
      <c r="P21" s="183" t="n"/>
      <c r="Q21" s="144" t="n"/>
      <c r="R21" s="91" t="n"/>
      <c r="S21" s="114" t="n"/>
      <c r="T21" s="317" t="n"/>
      <c r="U21" s="319" t="n"/>
      <c r="V21" s="147" t="n"/>
      <c r="W21" s="144" t="n"/>
      <c r="X21" s="147" t="n"/>
      <c r="Y21" s="144" t="n"/>
      <c r="Z21" s="91" t="n"/>
      <c r="AA21" s="91" t="n"/>
      <c r="AB21" s="91" t="n"/>
      <c r="AC21" s="91" t="n"/>
      <c r="AD21" s="91" t="n"/>
      <c r="AE21" s="91" t="n"/>
    </row>
    <row r="22">
      <c r="A22" s="91" t="n"/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91" t="n"/>
      <c r="M22" s="318" t="n"/>
      <c r="N22" s="91" t="n"/>
      <c r="O22" s="91" t="n"/>
      <c r="P22" s="91" t="n"/>
      <c r="Q22" s="91" t="n"/>
      <c r="R22" s="91" t="n"/>
      <c r="S22" s="91" t="n"/>
      <c r="T22" s="91" t="n"/>
      <c r="U22" s="91" t="n"/>
      <c r="V22" s="91" t="n"/>
      <c r="W22" s="91" t="n"/>
      <c r="X22" s="91" t="n"/>
      <c r="Y22" s="91" t="n"/>
      <c r="Z22" s="91" t="n"/>
      <c r="AA22" s="91" t="n"/>
      <c r="AB22" s="91" t="n"/>
      <c r="AC22" s="91" t="n"/>
      <c r="AD22" s="91" t="n"/>
      <c r="AE22" s="91" t="n"/>
    </row>
    <row r="23">
      <c r="A23" s="91" t="n"/>
      <c r="B23" s="91" t="n"/>
      <c r="C23" s="91" t="n"/>
      <c r="D23" s="91" t="n"/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91" t="n"/>
      <c r="T23" s="91" t="n"/>
      <c r="U23" s="91" t="n"/>
      <c r="V23" s="91" t="n"/>
      <c r="W23" s="91" t="n"/>
      <c r="X23" s="91" t="n"/>
      <c r="Y23" s="91" t="n"/>
      <c r="Z23" s="91" t="n"/>
      <c r="AA23" s="91" t="n"/>
      <c r="AB23" s="91" t="n"/>
      <c r="AC23" s="91" t="n"/>
      <c r="AD23" s="91" t="n"/>
      <c r="AE23" s="91" t="n"/>
    </row>
    <row r="24">
      <c r="A24" s="91" t="n"/>
      <c r="B24" s="91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  <c r="AB24" s="91" t="n"/>
      <c r="AC24" s="91" t="n"/>
      <c r="AD24" s="91" t="n"/>
      <c r="AE24" s="91" t="n"/>
    </row>
    <row r="25">
      <c r="A25" s="91" t="n"/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  <c r="AB25" s="91" t="n"/>
      <c r="AC25" s="91" t="n"/>
      <c r="AD25" s="91" t="n"/>
      <c r="AE25" s="91" t="n"/>
    </row>
    <row r="26">
      <c r="A26" s="91" t="n"/>
      <c r="B26" s="91" t="n"/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  <c r="AB26" s="91" t="n"/>
      <c r="AC26" s="91" t="n"/>
      <c r="AD26" s="91" t="n"/>
      <c r="AE26" s="91" t="n"/>
    </row>
    <row r="27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</row>
  </sheetData>
  <mergeCells count="15">
    <mergeCell ref="C2:E2"/>
    <mergeCell ref="G4:H4"/>
    <mergeCell ref="C1:E1"/>
    <mergeCell ref="F5:O5"/>
    <mergeCell ref="Y5:AD5"/>
    <mergeCell ref="T5:V5"/>
    <mergeCell ref="C5:E5"/>
    <mergeCell ref="G2:H2"/>
    <mergeCell ref="P5:R5"/>
    <mergeCell ref="G1:H1"/>
    <mergeCell ref="C4:E4"/>
    <mergeCell ref="C3:E3"/>
    <mergeCell ref="K2:N3"/>
    <mergeCell ref="W5:X5"/>
    <mergeCell ref="G3:H3"/>
  </mergeCells>
  <conditionalFormatting sqref="Q8:Q19 T8:U19 W8:Y19">
    <cfRule type="cellIs" priority="24" operator="lessThan" dxfId="83">
      <formula>0</formula>
    </cfRule>
    <cfRule type="cellIs" priority="25" operator="greaterThan" dxfId="82">
      <formula>0</formula>
    </cfRule>
  </conditionalFormatting>
  <conditionalFormatting sqref="R8:S8 R9:R19 S9 V8:V19">
    <cfRule type="cellIs" priority="23" operator="lessThan" dxfId="84">
      <formula>0</formula>
    </cfRule>
  </conditionalFormatting>
  <conditionalFormatting sqref="T21">
    <cfRule type="cellIs" priority="1" operator="lessThan" dxfId="83">
      <formula>0</formula>
    </cfRule>
    <cfRule type="cellIs" priority="2" operator="greaterThan" dxfId="82">
      <formula>0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zoomScaleNormal="85" workbookViewId="0">
      <selection activeCell="D30" sqref="D30"/>
    </sheetView>
  </sheetViews>
  <sheetFormatPr baseColWidth="8" defaultColWidth="9.375" defaultRowHeight="14.1"/>
  <cols>
    <col width="26.375" customWidth="1" min="3" max="3"/>
    <col width="62.375" customWidth="1" min="4" max="4"/>
  </cols>
  <sheetData>
    <row r="2" ht="15.6" customHeight="1">
      <c r="B2" s="16" t="inlineStr">
        <is>
          <t>How to use this Cost Sheet</t>
        </is>
      </c>
    </row>
    <row r="3" ht="18" customHeight="1">
      <c r="B3" s="17" t="n"/>
    </row>
    <row r="4" ht="18" customHeight="1">
      <c r="B4" s="17" t="n"/>
    </row>
    <row r="5" ht="15" customHeight="1">
      <c r="B5" s="274" t="n"/>
      <c r="G5" s="18" t="n"/>
      <c r="I5" s="274" t="n"/>
      <c r="O5" s="274" t="n"/>
    </row>
    <row r="6">
      <c r="G6" s="18" t="n"/>
    </row>
    <row r="7">
      <c r="G7" s="18" t="n"/>
    </row>
    <row r="8">
      <c r="G8" s="18" t="n"/>
    </row>
    <row r="9">
      <c r="G9" s="18" t="n"/>
    </row>
    <row r="10">
      <c r="G10" s="19" t="n"/>
      <c r="O10" s="20" t="n"/>
      <c r="P10" s="20" t="n"/>
      <c r="Q10" s="20" t="n"/>
    </row>
    <row r="11" ht="15.6" customHeight="1">
      <c r="B11" s="56" t="inlineStr">
        <is>
          <t>#</t>
        </is>
      </c>
      <c r="C11" s="56" t="inlineStr">
        <is>
          <t>Column</t>
        </is>
      </c>
      <c r="D11" s="56" t="inlineStr">
        <is>
          <t>Description</t>
        </is>
      </c>
    </row>
    <row r="12" ht="30.75" customHeight="1">
      <c r="B12" s="53" t="inlineStr">
        <is>
          <t>1</t>
        </is>
      </c>
      <c r="C12" s="54" t="inlineStr">
        <is>
          <t>Total Mandays</t>
        </is>
      </c>
      <c r="D12" s="55" t="inlineStr">
        <is>
          <t>Total Project Mandays as per the estimation, proposal or contract</t>
        </is>
      </c>
    </row>
    <row r="13" ht="42" customHeight="1">
      <c r="B13" s="53" t="inlineStr">
        <is>
          <t>2</t>
        </is>
      </c>
      <c r="C13" s="54" t="inlineStr">
        <is>
          <t>Total Estimated Cost ($)</t>
        </is>
      </c>
      <c r="D13" s="55" t="inlineStr">
        <is>
          <t>Estimated cost based on estimation (FP Projects) or No of resources (T&amp;M projects)
Generally, estimated cost = No of Mandays* Cost per Manday</t>
        </is>
      </c>
    </row>
    <row r="14" ht="30.75" customHeight="1">
      <c r="B14" s="53" t="inlineStr">
        <is>
          <t>3</t>
        </is>
      </c>
      <c r="C14" s="54" t="inlineStr">
        <is>
          <t>Total Estimated Cost (SAR)</t>
        </is>
      </c>
      <c r="D14" s="55" t="inlineStr">
        <is>
          <t>Estimated Cost in SAR</t>
        </is>
      </c>
    </row>
    <row r="15" ht="30.75" customHeight="1">
      <c r="B15" s="53" t="inlineStr">
        <is>
          <t>4</t>
        </is>
      </c>
      <c r="C15" s="54" t="inlineStr">
        <is>
          <t>Total Revenue</t>
        </is>
      </c>
      <c r="D15" s="55" t="inlineStr">
        <is>
          <t>Revenue as per contract</t>
        </is>
      </c>
    </row>
    <row r="16" ht="30.75" customHeight="1">
      <c r="B16" s="53" t="inlineStr">
        <is>
          <t>5</t>
        </is>
      </c>
      <c r="C16" s="54" t="inlineStr">
        <is>
          <t>Budget Profit (SAR)</t>
        </is>
      </c>
      <c r="D16" s="55" t="inlineStr">
        <is>
          <t>Profit = Revenue - Estimated Cost</t>
        </is>
      </c>
    </row>
    <row r="17" ht="30.75" customHeight="1">
      <c r="B17" s="53" t="inlineStr">
        <is>
          <t>6</t>
        </is>
      </c>
      <c r="C17" s="54" t="inlineStr">
        <is>
          <t>Budget Profit (%)</t>
        </is>
      </c>
      <c r="D17" s="55" t="inlineStr">
        <is>
          <t>Profit as a percentage of Revenue</t>
        </is>
      </c>
    </row>
    <row r="18" ht="30.75" customHeight="1">
      <c r="B18" s="53" t="inlineStr">
        <is>
          <t>7</t>
        </is>
      </c>
      <c r="C18" s="54" t="inlineStr">
        <is>
          <t>Current Cost (SAR)</t>
        </is>
      </c>
      <c r="D18" s="55" t="inlineStr">
        <is>
          <t>Current Cost based on current team effort - according to rate per hour for every resource</t>
        </is>
      </c>
    </row>
    <row r="19" ht="30.75" customHeight="1">
      <c r="B19" s="53" t="inlineStr">
        <is>
          <t>8</t>
        </is>
      </c>
      <c r="C19" s="54" t="inlineStr">
        <is>
          <t>Estimated Remaining (MD)</t>
        </is>
      </c>
      <c r="D19" s="55" t="inlineStr">
        <is>
          <t>Remaining mandays in the project based on baseline estimation (FPP) or contract (T&amp;M)</t>
        </is>
      </c>
    </row>
    <row r="20" ht="30.75" customHeight="1">
      <c r="B20" s="53" t="inlineStr">
        <is>
          <t>9</t>
        </is>
      </c>
      <c r="C20" s="54" t="inlineStr">
        <is>
          <t>Estimated Cost to Complete</t>
        </is>
      </c>
      <c r="D20" s="55" t="inlineStr">
        <is>
          <t xml:space="preserve">  = Estimated Remaining Mandays * Cost per Manday</t>
        </is>
      </c>
    </row>
    <row r="21" ht="30.75" customHeight="1">
      <c r="B21" s="53" t="inlineStr">
        <is>
          <t>10</t>
        </is>
      </c>
      <c r="C21" s="54" t="inlineStr">
        <is>
          <t>Estimate at Completion</t>
        </is>
      </c>
      <c r="D21" s="55" t="inlineStr">
        <is>
          <t xml:space="preserve">  = Current Cost + Estimated Remaining</t>
        </is>
      </c>
    </row>
    <row r="22" ht="30.75" customHeight="1">
      <c r="B22" s="53" t="inlineStr">
        <is>
          <t>11</t>
        </is>
      </c>
      <c r="C22" s="54" t="inlineStr">
        <is>
          <t>Variance</t>
        </is>
      </c>
      <c r="D22" s="55" t="inlineStr">
        <is>
          <t xml:space="preserve">  = Total Estimated Cost - Estimate at Completion</t>
        </is>
      </c>
    </row>
    <row r="23" ht="30.75" customHeight="1">
      <c r="B23" s="53" t="inlineStr">
        <is>
          <t>12</t>
        </is>
      </c>
      <c r="C23" s="54" t="inlineStr">
        <is>
          <t>Variance (%)</t>
        </is>
      </c>
      <c r="D23" s="55" t="inlineStr">
        <is>
          <t>Variance as a percentage of Total Cost</t>
        </is>
      </c>
    </row>
    <row r="24" ht="30.75" customHeight="1">
      <c r="B24" s="53" t="inlineStr">
        <is>
          <t>13</t>
        </is>
      </c>
      <c r="C24" s="54" t="inlineStr">
        <is>
          <t>Profit at Completion</t>
        </is>
      </c>
      <c r="D24" s="55" t="inlineStr">
        <is>
          <t xml:space="preserve">  = Total Revenue after CRs - Estimate at Completion</t>
        </is>
      </c>
    </row>
    <row r="25" ht="30.75" customHeight="1">
      <c r="B25" s="53" t="inlineStr">
        <is>
          <t>14</t>
        </is>
      </c>
      <c r="C25" s="54" t="inlineStr">
        <is>
          <t>Profit at Completion (%)</t>
        </is>
      </c>
      <c r="D25" s="55" t="inlineStr">
        <is>
          <t>Profit at Completion as a percentage of Revenue</t>
        </is>
      </c>
    </row>
    <row r="26" ht="30.75" customHeight="1">
      <c r="B26" s="53" t="inlineStr">
        <is>
          <t>15</t>
        </is>
      </c>
      <c r="C26" s="54" t="inlineStr">
        <is>
          <t>Profitability Variance</t>
        </is>
      </c>
      <c r="D26" s="55" t="inlineStr">
        <is>
          <t xml:space="preserve">  = Profit at Completion - Baseline Profit (after CRs)</t>
        </is>
      </c>
    </row>
    <row r="27" ht="30.75" customHeight="1">
      <c r="B27" s="53" t="inlineStr">
        <is>
          <t>16</t>
        </is>
      </c>
      <c r="C27" s="54" t="inlineStr">
        <is>
          <t>Profitability Variance (%)</t>
        </is>
      </c>
      <c r="D27" s="55" t="inlineStr">
        <is>
          <t xml:space="preserve">  = Budget Profit % - Profit at Completion %</t>
        </is>
      </c>
    </row>
    <row r="28">
      <c r="B28" s="53" t="inlineStr">
        <is>
          <t>17</t>
        </is>
      </c>
      <c r="C28" s="54" t="inlineStr">
        <is>
          <t>Total issued invoices</t>
        </is>
      </c>
      <c r="D28" s="55" t="inlineStr">
        <is>
          <t>All issued invoices for services only</t>
        </is>
      </c>
    </row>
    <row r="29" ht="27.95" customHeight="1">
      <c r="B29" s="53" t="inlineStr">
        <is>
          <t>18</t>
        </is>
      </c>
      <c r="C29" s="54" t="inlineStr">
        <is>
          <t>Progress %</t>
        </is>
      </c>
      <c r="D29" s="55" t="inlineStr">
        <is>
          <t xml:space="preserve"> The consumed cost from total EAC
= Current Cost/ Estimat at completion</t>
        </is>
      </c>
    </row>
    <row r="30" ht="42" customHeight="1">
      <c r="B30" s="53" t="inlineStr">
        <is>
          <t>19</t>
        </is>
      </c>
      <c r="C30" s="54" t="inlineStr">
        <is>
          <t>Total Recognised Revenue</t>
        </is>
      </c>
      <c r="D30" s="55" t="inlineStr">
        <is>
          <t xml:space="preserve"> = progress% * Revenue
According to actual effort done and progress of work, this is the amount of invoices I should issue, or the revenue I should receive.</t>
        </is>
      </c>
    </row>
  </sheetData>
  <mergeCells count="3">
    <mergeCell ref="O5:R9"/>
    <mergeCell ref="I5:M9"/>
    <mergeCell ref="B5:F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zoomScaleNormal="100" workbookViewId="0">
      <selection activeCell="C15" sqref="C15"/>
    </sheetView>
  </sheetViews>
  <sheetFormatPr baseColWidth="8" defaultColWidth="9.375" defaultRowHeight="14.1"/>
  <cols>
    <col width="26.375" customWidth="1" min="1" max="1"/>
    <col width="22.375" customWidth="1" min="2" max="2"/>
    <col width="16" customWidth="1" min="3" max="3"/>
    <col width="19.375" bestFit="1" customWidth="1" min="4" max="4"/>
    <col width="19.375" customWidth="1" min="5" max="6"/>
    <col width="19" customWidth="1" min="7" max="7"/>
    <col width="12.375" customWidth="1" min="8" max="8"/>
    <col width="11.375" customWidth="1" min="9" max="9"/>
  </cols>
  <sheetData>
    <row r="1" ht="15.6" customHeight="1">
      <c r="A1" s="48" t="inlineStr">
        <is>
          <t>Put planned resources for the project and their positions to calculate Cost per month</t>
        </is>
      </c>
    </row>
    <row r="2" ht="18" customHeight="1">
      <c r="A2" s="275" t="inlineStr">
        <is>
          <t>Delivery Estimation</t>
        </is>
      </c>
    </row>
    <row r="3" ht="34.5" customHeight="1" thickBot="1">
      <c r="A3" s="22" t="inlineStr">
        <is>
          <t>Name</t>
        </is>
      </c>
      <c r="B3" s="22" t="inlineStr">
        <is>
          <t>Position</t>
        </is>
      </c>
      <c r="C3" s="21" t="inlineStr">
        <is>
          <t>Hour Rate ($)</t>
        </is>
      </c>
      <c r="D3" s="38" t="inlineStr">
        <is>
          <t>Actual Time (MH)</t>
        </is>
      </c>
      <c r="E3" s="21" t="inlineStr">
        <is>
          <t>Onsite Rate ($)</t>
        </is>
      </c>
      <c r="F3" s="38" t="inlineStr">
        <is>
          <t>Actual Time Onsite (MH)</t>
        </is>
      </c>
      <c r="G3" s="22" t="inlineStr">
        <is>
          <t>Total Cost</t>
        </is>
      </c>
      <c r="H3" s="38" t="inlineStr">
        <is>
          <t>Cost * Period</t>
        </is>
      </c>
      <c r="I3" s="42" t="inlineStr">
        <is>
          <t>MD</t>
        </is>
      </c>
    </row>
    <row r="4" ht="15" customHeight="1" thickTop="1">
      <c r="A4" t="inlineStr">
        <is>
          <t>Amr Elwitidi</t>
        </is>
      </c>
      <c r="B4" s="4" t="inlineStr">
        <is>
          <t>KSA- Sr Business Analyst</t>
        </is>
      </c>
      <c r="C4" s="320">
        <f>VLOOKUP(B:B,Positions!A:B,2,0)</f>
        <v/>
      </c>
      <c r="D4" s="24">
        <f>22*8</f>
        <v/>
      </c>
      <c r="E4" s="321">
        <f>19+Table_6710[[#This Row],[Hour Rate ($)]]</f>
        <v/>
      </c>
      <c r="F4" s="24" t="n"/>
      <c r="G4" s="322">
        <f>D4*C4+Table_6710[[#This Row],[Onsite Rate ($)]]*Table_6710[[#This Row],[Actual Time Onsite (MH)]]</f>
        <v/>
      </c>
      <c r="H4" s="322">
        <f>Table_6710[[#This Row],[Total Cost]]*8</f>
        <v/>
      </c>
      <c r="I4" s="43">
        <f>(Table_6710[[#This Row],[Actual Time (MH)]]*8)/8</f>
        <v/>
      </c>
    </row>
    <row r="5" ht="14.45" customHeight="1">
      <c r="A5" s="2" t="inlineStr">
        <is>
          <t>Asmaa Ibrahim</t>
        </is>
      </c>
      <c r="B5" s="4" t="inlineStr">
        <is>
          <t>EGY - Sr Business Analyst</t>
        </is>
      </c>
      <c r="C5" s="320">
        <f>VLOOKUP(B:B,Positions!A:B,2,0)</f>
        <v/>
      </c>
      <c r="D5" s="24">
        <f>22*8</f>
        <v/>
      </c>
      <c r="E5" s="321">
        <f>19+Table_6710[[#This Row],[Hour Rate ($)]]</f>
        <v/>
      </c>
      <c r="F5" s="24" t="n"/>
      <c r="G5" s="322">
        <f>D5*C5+Table_6710[[#This Row],[Onsite Rate ($)]]*Table_6710[[#This Row],[Actual Time Onsite (MH)]]</f>
        <v/>
      </c>
      <c r="H5" s="322">
        <f>Table_6710[[#This Row],[Total Cost]]*4</f>
        <v/>
      </c>
      <c r="I5" s="43">
        <f>(Table_6710[[#This Row],[Actual Time (MH)]]*4)/8</f>
        <v/>
      </c>
    </row>
    <row r="6" ht="14.45" customHeight="1">
      <c r="A6" s="2" t="inlineStr">
        <is>
          <t>Mohamed Abdallah</t>
        </is>
      </c>
      <c r="B6" s="4" t="inlineStr">
        <is>
          <t>KSA - Project Manager</t>
        </is>
      </c>
      <c r="C6" s="320">
        <f>VLOOKUP(B:B,Positions!A:B,2,0)</f>
        <v/>
      </c>
      <c r="D6" s="24">
        <f>22*8</f>
        <v/>
      </c>
      <c r="E6" s="321">
        <f>19+Table_6710[[#This Row],[Hour Rate ($)]]</f>
        <v/>
      </c>
      <c r="F6" s="24" t="n"/>
      <c r="G6" s="322">
        <f>D6*C6+Table_6710[[#This Row],[Onsite Rate ($)]]*Table_6710[[#This Row],[Actual Time Onsite (MH)]]</f>
        <v/>
      </c>
      <c r="H6" s="322">
        <f>Table_6710[[#This Row],[Total Cost]]*9</f>
        <v/>
      </c>
      <c r="I6" s="43">
        <f>(Table_6710[[#This Row],[Actual Time (MH)]]*9)/8</f>
        <v/>
      </c>
    </row>
    <row r="7" ht="14.45" customHeight="1">
      <c r="A7" s="2" t="inlineStr">
        <is>
          <t>Abdessalem Hadad</t>
        </is>
      </c>
      <c r="B7" s="4" t="inlineStr">
        <is>
          <t>KSA - Solution Architect</t>
        </is>
      </c>
      <c r="C7" s="320">
        <f>VLOOKUP(B:B,Positions!A:B,2,0)</f>
        <v/>
      </c>
      <c r="D7" s="24">
        <f>22*8</f>
        <v/>
      </c>
      <c r="E7" s="321">
        <f>19+Table_6710[[#This Row],[Hour Rate ($)]]</f>
        <v/>
      </c>
      <c r="F7" s="24" t="n"/>
      <c r="G7" s="322">
        <f>D7*C7+Table_6710[[#This Row],[Onsite Rate ($)]]*Table_6710[[#This Row],[Actual Time Onsite (MH)]]</f>
        <v/>
      </c>
      <c r="H7" s="322">
        <f>Table_6710[[#This Row],[Total Cost]]</f>
        <v/>
      </c>
      <c r="I7" s="43">
        <f>(Table_6710[[#This Row],[Actual Time (MH)]])/8</f>
        <v/>
      </c>
    </row>
    <row r="8" ht="14.45" customHeight="1">
      <c r="A8" t="inlineStr">
        <is>
          <t>Ahmed Serag</t>
        </is>
      </c>
      <c r="B8" s="4" t="inlineStr">
        <is>
          <t>KSA - Lead Software Engineer</t>
        </is>
      </c>
      <c r="C8" s="320">
        <f>VLOOKUP(B:B,Positions!A:B,2,0)</f>
        <v/>
      </c>
      <c r="D8" s="24">
        <f>22*8</f>
        <v/>
      </c>
      <c r="E8" s="321">
        <f>19+Table_6710[[#This Row],[Hour Rate ($)]]</f>
        <v/>
      </c>
      <c r="F8" s="24" t="n"/>
      <c r="G8" s="322">
        <f>D8*C8+Table_6710[[#This Row],[Onsite Rate ($)]]*Table_6710[[#This Row],[Actual Time Onsite (MH)]]</f>
        <v/>
      </c>
      <c r="H8" s="322">
        <f>Table_6710[[#This Row],[Total Cost]]*8</f>
        <v/>
      </c>
      <c r="I8" s="43">
        <f>(Table_6710[[#This Row],[Actual Time (MH)]]*8)/8</f>
        <v/>
      </c>
    </row>
    <row r="9" ht="14.45" customHeight="1">
      <c r="A9" t="inlineStr">
        <is>
          <t>Samah El Sayed</t>
        </is>
      </c>
      <c r="B9" s="4" t="inlineStr">
        <is>
          <t>KSA - Lead Software Engineer</t>
        </is>
      </c>
      <c r="C9" s="320">
        <f>VLOOKUP(B:B,Positions!A:B,2,0)</f>
        <v/>
      </c>
      <c r="D9" s="24">
        <f>22*8</f>
        <v/>
      </c>
      <c r="E9" s="321">
        <f>19+Table_6710[[#This Row],[Hour Rate ($)]]</f>
        <v/>
      </c>
      <c r="F9" s="24" t="n"/>
      <c r="G9" s="322">
        <f>D9*C9+Table_6710[[#This Row],[Onsite Rate ($)]]*Table_6710[[#This Row],[Actual Time Onsite (MH)]]</f>
        <v/>
      </c>
      <c r="H9" s="322">
        <f>Table_6710[[#This Row],[Total Cost]]*7</f>
        <v/>
      </c>
      <c r="I9" s="43">
        <f>(Table_6710[[#This Row],[Actual Time (MH)]]*7)/8</f>
        <v/>
      </c>
    </row>
    <row r="10" ht="14.45" customHeight="1">
      <c r="A10" t="inlineStr">
        <is>
          <t>Aya Saeed</t>
        </is>
      </c>
      <c r="B10" s="4" t="inlineStr">
        <is>
          <t>EGY - Sr. Software Engineer</t>
        </is>
      </c>
      <c r="C10" s="320">
        <f>VLOOKUP(B:B,Positions!A:B,2,0)</f>
        <v/>
      </c>
      <c r="D10" s="24">
        <f>22*8</f>
        <v/>
      </c>
      <c r="E10" s="321">
        <f>19+Table_6710[[#This Row],[Hour Rate ($)]]</f>
        <v/>
      </c>
      <c r="F10" s="24" t="n"/>
      <c r="G10" s="322">
        <f>D10*C10+Table_6710[[#This Row],[Onsite Rate ($)]]*Table_6710[[#This Row],[Actual Time Onsite (MH)]]</f>
        <v/>
      </c>
      <c r="H10" s="322">
        <f>Table_6710[[#This Row],[Total Cost]]*7</f>
        <v/>
      </c>
      <c r="I10" s="43">
        <f>(Table_6710[[#This Row],[Actual Time (MH)]]*7)/8</f>
        <v/>
      </c>
    </row>
    <row r="11" ht="14.45" customHeight="1">
      <c r="A11" t="inlineStr">
        <is>
          <t>Abdulrahman Abdallah</t>
        </is>
      </c>
      <c r="B11" s="4" t="inlineStr">
        <is>
          <t>EGY - Sr. Software Engineer</t>
        </is>
      </c>
      <c r="C11" s="320">
        <f>VLOOKUP(B:B,Positions!A:B,2,0)</f>
        <v/>
      </c>
      <c r="D11" s="24">
        <f>22*8</f>
        <v/>
      </c>
      <c r="E11" s="321">
        <f>19+Table_6710[[#This Row],[Hour Rate ($)]]</f>
        <v/>
      </c>
      <c r="F11" s="24" t="n"/>
      <c r="G11" s="322">
        <f>D11*C11+Table_6710[[#This Row],[Onsite Rate ($)]]*Table_6710[[#This Row],[Actual Time Onsite (MH)]]</f>
        <v/>
      </c>
      <c r="H11" s="322">
        <f>Table_6710[[#This Row],[Total Cost]]*8</f>
        <v/>
      </c>
      <c r="I11" s="43">
        <f>(Table_6710[[#This Row],[Actual Time (MH)]]*8)/8</f>
        <v/>
      </c>
    </row>
    <row r="12" ht="14.45" customHeight="1">
      <c r="A12" t="inlineStr">
        <is>
          <t>Senior Software Developer</t>
        </is>
      </c>
      <c r="B12" s="4" t="inlineStr">
        <is>
          <t>EGY - Sr. Software Engineer</t>
        </is>
      </c>
      <c r="C12" s="320">
        <f>VLOOKUP(B:B,Positions!A:B,2,0)</f>
        <v/>
      </c>
      <c r="D12" s="24">
        <f>22*8</f>
        <v/>
      </c>
      <c r="E12" s="321">
        <f>19+Table_6710[[#This Row],[Hour Rate ($)]]</f>
        <v/>
      </c>
      <c r="F12" s="24" t="n"/>
      <c r="G12" s="322">
        <f>D12*C12+Table_6710[[#This Row],[Onsite Rate ($)]]*Table_6710[[#This Row],[Actual Time Onsite (MH)]]</f>
        <v/>
      </c>
      <c r="H12" s="322">
        <f>Table_6710[[#This Row],[Total Cost]]*6</f>
        <v/>
      </c>
      <c r="I12" s="43">
        <f>(Table_6710[[#This Row],[Actual Time (MH)]]*6)/8</f>
        <v/>
      </c>
    </row>
    <row r="13" ht="14.45" customHeight="1">
      <c r="A13" t="inlineStr">
        <is>
          <t>Ahmed Gameel</t>
        </is>
      </c>
      <c r="B13" s="4" t="inlineStr">
        <is>
          <t>EGY - Software Engineer</t>
        </is>
      </c>
      <c r="C13" s="320">
        <f>VLOOKUP(B:B,Positions!A:B,2,0)</f>
        <v/>
      </c>
      <c r="D13" s="24">
        <f>22*8</f>
        <v/>
      </c>
      <c r="E13" s="321">
        <f>19+Table_6710[[#This Row],[Hour Rate ($)]]</f>
        <v/>
      </c>
      <c r="F13" s="24" t="n"/>
      <c r="G13" s="322">
        <f>D13*C13+Table_6710[[#This Row],[Onsite Rate ($)]]*Table_6710[[#This Row],[Actual Time Onsite (MH)]]</f>
        <v/>
      </c>
      <c r="H13" s="322">
        <f>Table_6710[[#This Row],[Total Cost]]*7</f>
        <v/>
      </c>
      <c r="I13" s="43">
        <f>(Table_6710[[#This Row],[Actual Time (MH)]]*7)/8</f>
        <v/>
      </c>
    </row>
    <row r="14" ht="14.45" customHeight="1">
      <c r="A14" t="inlineStr">
        <is>
          <t>Mahmoud Sayed</t>
        </is>
      </c>
      <c r="B14" s="4" t="inlineStr">
        <is>
          <t>EGY - Software Engineer</t>
        </is>
      </c>
      <c r="C14" s="320">
        <f>VLOOKUP(B:B,Positions!A:B,2,0)</f>
        <v/>
      </c>
      <c r="D14" s="24">
        <f>22*8</f>
        <v/>
      </c>
      <c r="E14" s="321">
        <f>19+Table_6710[[#This Row],[Hour Rate ($)]]</f>
        <v/>
      </c>
      <c r="F14" s="24" t="n"/>
      <c r="G14" s="322">
        <f>D14*C14+Table_6710[[#This Row],[Onsite Rate ($)]]*Table_6710[[#This Row],[Actual Time Onsite (MH)]]</f>
        <v/>
      </c>
      <c r="H14" s="322">
        <f>Table_6710[[#This Row],[Total Cost]]*5</f>
        <v/>
      </c>
      <c r="I14" s="43">
        <f>(Table_6710[[#This Row],[Actual Time (MH)]]*5)/8</f>
        <v/>
      </c>
    </row>
    <row r="15" ht="14.45" customHeight="1">
      <c r="A15" t="inlineStr">
        <is>
          <t>Fady Ayman</t>
        </is>
      </c>
      <c r="B15" s="4" t="inlineStr">
        <is>
          <t>EGY - Software Engineer</t>
        </is>
      </c>
      <c r="C15" s="320">
        <f>VLOOKUP(B:B,Positions!A:B,2,0)</f>
        <v/>
      </c>
      <c r="D15" s="24" t="n">
        <v>176</v>
      </c>
      <c r="E15" s="321">
        <f>19+Table_6710[[#This Row],[Hour Rate ($)]]</f>
        <v/>
      </c>
      <c r="F15" s="24" t="n"/>
      <c r="G15" s="322">
        <f>D15*C15+Table_6710[[#This Row],[Onsite Rate ($)]]*Table_6710[[#This Row],[Actual Time Onsite (MH)]]</f>
        <v/>
      </c>
      <c r="H15" s="322">
        <f>Table_6710[[#This Row],[Total Cost]]*4</f>
        <v/>
      </c>
      <c r="I15" s="43">
        <f>(Table_6710[[#This Row],[Actual Time (MH)]]*6)/8</f>
        <v/>
      </c>
    </row>
    <row r="16" ht="14.45" customHeight="1">
      <c r="A16" t="inlineStr">
        <is>
          <t>Rana Wael</t>
        </is>
      </c>
      <c r="B16" s="4" t="inlineStr">
        <is>
          <t>EGY - Software Engineer</t>
        </is>
      </c>
      <c r="C16" s="320">
        <f>VLOOKUP(B:B,Positions!A:B,2,0)</f>
        <v/>
      </c>
      <c r="D16" s="24">
        <f>22*8</f>
        <v/>
      </c>
      <c r="E16" s="321">
        <f>19+Table_6710[[#This Row],[Hour Rate ($)]]</f>
        <v/>
      </c>
      <c r="F16" s="24" t="n"/>
      <c r="G16" s="322">
        <f>D16*C16+Table_6710[[#This Row],[Onsite Rate ($)]]*Table_6710[[#This Row],[Actual Time Onsite (MH)]]</f>
        <v/>
      </c>
      <c r="H16" s="322">
        <f>Table_6710[[#This Row],[Total Cost]]*6</f>
        <v/>
      </c>
      <c r="I16" s="43">
        <f>(Table_6710[[#This Row],[Actual Time (MH)]]*4)/8</f>
        <v/>
      </c>
    </row>
    <row r="17" ht="15" customHeight="1">
      <c r="A17" t="inlineStr">
        <is>
          <t>Youmna Mahmoud</t>
        </is>
      </c>
      <c r="B17" s="4" t="inlineStr">
        <is>
          <t>EGY - Sr Quality Engineer</t>
        </is>
      </c>
      <c r="C17" s="320">
        <f>VLOOKUP(B:B,Positions!A:B,2,0)</f>
        <v/>
      </c>
      <c r="D17" s="24">
        <f>22*8</f>
        <v/>
      </c>
      <c r="E17" s="321">
        <f>19+Table_6710[[#This Row],[Hour Rate ($)]]</f>
        <v/>
      </c>
      <c r="F17" s="24" t="n"/>
      <c r="G17" s="322">
        <f>D17*C17+Table_6710[[#This Row],[Onsite Rate ($)]]*Table_6710[[#This Row],[Actual Time Onsite (MH)]]</f>
        <v/>
      </c>
      <c r="H17" s="322">
        <f>Table_6710[[#This Row],[Total Cost]]*8</f>
        <v/>
      </c>
      <c r="I17" s="43">
        <f>(Table_6710[[#This Row],[Actual Time (MH)]]*8)/8</f>
        <v/>
      </c>
    </row>
    <row r="18" ht="15" customHeight="1">
      <c r="A18" s="2" t="inlineStr">
        <is>
          <t>Yasmin Tarek</t>
        </is>
      </c>
      <c r="B18" s="4" t="inlineStr">
        <is>
          <t>EGY - Quality Engineer</t>
        </is>
      </c>
      <c r="C18" s="320">
        <f>VLOOKUP(B:B,Positions!A:B,2,0)</f>
        <v/>
      </c>
      <c r="D18" s="24">
        <f>22*8</f>
        <v/>
      </c>
      <c r="E18" s="321">
        <f>19+Table_6710[[#This Row],[Hour Rate ($)]]</f>
        <v/>
      </c>
      <c r="F18" s="24" t="n"/>
      <c r="G18" s="322">
        <f>D18*C18+Table_6710[[#This Row],[Onsite Rate ($)]]*Table_6710[[#This Row],[Actual Time Onsite (MH)]]</f>
        <v/>
      </c>
      <c r="H18" s="322">
        <f>Table_6710[[#This Row],[Total Cost]]*7</f>
        <v/>
      </c>
      <c r="I18" s="43">
        <f>(Table_6710[[#This Row],[Actual Time (MH)]]*7)/8</f>
        <v/>
      </c>
    </row>
    <row r="19" ht="15" customHeight="1">
      <c r="A19" s="2" t="inlineStr">
        <is>
          <t>Ahmed Badawy</t>
        </is>
      </c>
      <c r="B19" s="4" t="inlineStr">
        <is>
          <t>EGY - Quality Engineer</t>
        </is>
      </c>
      <c r="C19" s="320">
        <f>VLOOKUP(B:B,Positions!A:B,2,0)</f>
        <v/>
      </c>
      <c r="D19" s="24">
        <f>22*8</f>
        <v/>
      </c>
      <c r="E19" s="321">
        <f>19+Table_6710[[#This Row],[Hour Rate ($)]]</f>
        <v/>
      </c>
      <c r="F19" s="24" t="n"/>
      <c r="G19" s="322">
        <f>D19*C19+Table_6710[[#This Row],[Onsite Rate ($)]]*Table_6710[[#This Row],[Actual Time Onsite (MH)]]</f>
        <v/>
      </c>
      <c r="H19" s="322">
        <f>Table_6710[[#This Row],[Total Cost]]*7</f>
        <v/>
      </c>
      <c r="I19" s="43">
        <f>(Table_6710[[#This Row],[Actual Time (MH)]]*7)/8</f>
        <v/>
      </c>
    </row>
    <row r="20" ht="15" customHeight="1">
      <c r="A20" s="2" t="inlineStr">
        <is>
          <t>Mohamed Degwy</t>
        </is>
      </c>
      <c r="B20" s="4" t="inlineStr">
        <is>
          <t>EGY - Sr UX Designer</t>
        </is>
      </c>
      <c r="C20" s="320">
        <f>VLOOKUP(B:B,Positions!A:B,2,0)</f>
        <v/>
      </c>
      <c r="D20" s="24">
        <f>22*8</f>
        <v/>
      </c>
      <c r="E20" s="321">
        <f>19+Table_6710[[#This Row],[Hour Rate ($)]]</f>
        <v/>
      </c>
      <c r="F20" s="24" t="n"/>
      <c r="G20" s="322">
        <f>D20*C20+Table_6710[[#This Row],[Onsite Rate ($)]]*Table_6710[[#This Row],[Actual Time Onsite (MH)]]</f>
        <v/>
      </c>
      <c r="H20" s="322">
        <f>Table_6710[[#This Row],[Total Cost]]*2</f>
        <v/>
      </c>
      <c r="I20" s="43">
        <f>(Table_6710[[#This Row],[Actual Time (MH)]]*2)/8</f>
        <v/>
      </c>
    </row>
    <row r="21" ht="15" customHeight="1">
      <c r="A21" t="inlineStr">
        <is>
          <t>Menna Adel</t>
        </is>
      </c>
      <c r="B21" s="4" t="inlineStr">
        <is>
          <t>EGY - UX Designer</t>
        </is>
      </c>
      <c r="C21" s="320">
        <f>VLOOKUP(B:B,Positions!A:B,2,0)</f>
        <v/>
      </c>
      <c r="D21" s="24" t="n">
        <v>176</v>
      </c>
      <c r="E21" s="321">
        <f>19+Table_6710[[#This Row],[Hour Rate ($)]]</f>
        <v/>
      </c>
      <c r="G21" s="322">
        <f>D21*C21+Table_6710[[#This Row],[Onsite Rate ($)]]*Table_6710[[#This Row],[Actual Time Onsite (MH)]]</f>
        <v/>
      </c>
      <c r="H21" s="322">
        <f>Table_6710[[#This Row],[Total Cost]]*3</f>
        <v/>
      </c>
      <c r="I21" s="43">
        <f>(Table_6710[[#This Row],[Actual Time (MH)]]*4)/8</f>
        <v/>
      </c>
    </row>
    <row r="22" ht="15" customHeight="1">
      <c r="A22" s="71" t="inlineStr">
        <is>
          <t>UI DESIGNER</t>
        </is>
      </c>
      <c r="B22" s="4" t="inlineStr">
        <is>
          <t>EGY - Sr UX Designer</t>
        </is>
      </c>
      <c r="C22" s="320">
        <f>VLOOKUP(B:B,Positions!A:B,2,0)</f>
        <v/>
      </c>
      <c r="D22" s="24">
        <f>22*8</f>
        <v/>
      </c>
      <c r="E22" s="321">
        <f>19+Table_6710[[#This Row],[Hour Rate ($)]]</f>
        <v/>
      </c>
      <c r="F22" s="24" t="n"/>
      <c r="G22" s="322">
        <f>D22*C22+Table_6710[[#This Row],[Onsite Rate ($)]]*Table_6710[[#This Row],[Actual Time Onsite (MH)]]</f>
        <v/>
      </c>
      <c r="H22" s="322">
        <f>Table_6710[[#This Row],[Total Cost]]*6</f>
        <v/>
      </c>
      <c r="I22" s="43">
        <f>(Table_6710[[#This Row],[Actual Time (MH)]]*6)/8</f>
        <v/>
      </c>
    </row>
    <row r="23" ht="14.45" customHeight="1">
      <c r="C23" s="313" t="n"/>
      <c r="D23" s="2" t="n"/>
      <c r="E23" s="24" t="n"/>
      <c r="F23" s="24" t="n"/>
      <c r="G23" s="323" t="n"/>
      <c r="H23" s="323" t="n"/>
      <c r="I23" s="62">
        <f>SUBTOTAL(109,Table_6710[MD])</f>
        <v/>
      </c>
    </row>
    <row r="24" ht="14.45" customHeight="1">
      <c r="A24" s="276" t="inlineStr">
        <is>
          <t>Fill in below info from Contract:</t>
        </is>
      </c>
      <c r="C24" s="313" t="n"/>
      <c r="D24" s="2" t="n"/>
      <c r="E24" s="2" t="n"/>
      <c r="F24" s="2" t="n"/>
    </row>
    <row r="25" ht="14.45" customHeight="1">
      <c r="A25" s="324" t="n"/>
      <c r="B25" s="324" t="n"/>
      <c r="D25" s="5" t="inlineStr">
        <is>
          <t>TOTAL USD</t>
        </is>
      </c>
      <c r="E25" s="5" t="n"/>
      <c r="F25" s="5" t="n"/>
      <c r="G25" s="325">
        <f>SUM(H4:H22)</f>
        <v/>
      </c>
      <c r="H25" s="326" t="n"/>
    </row>
    <row r="26" ht="14.45" customHeight="1">
      <c r="A26" s="46" t="inlineStr">
        <is>
          <t>Contract Period in months</t>
        </is>
      </c>
      <c r="B26" s="49" t="n"/>
      <c r="C26" s="2" t="n"/>
      <c r="D26" s="64" t="inlineStr">
        <is>
          <t>TOTAL Estimated Cost SAR</t>
        </is>
      </c>
      <c r="E26" s="64" t="n"/>
      <c r="F26" s="64" t="n"/>
      <c r="G26" s="327">
        <f>G25*3.75</f>
        <v/>
      </c>
      <c r="H26" s="2" t="n"/>
    </row>
    <row r="27">
      <c r="A27" s="47" t="inlineStr">
        <is>
          <t>No of Resources required</t>
        </is>
      </c>
      <c r="B27" s="45" t="n"/>
    </row>
    <row r="28">
      <c r="A28" s="47" t="inlineStr">
        <is>
          <t>Total Mandays estimated for the project</t>
        </is>
      </c>
      <c r="B28" s="45" t="n"/>
    </row>
    <row r="32" ht="18" customHeight="1">
      <c r="A32" s="275" t="inlineStr">
        <is>
          <t>Support Estimation</t>
        </is>
      </c>
    </row>
    <row r="33" ht="34.5" customHeight="1" thickBot="1">
      <c r="A33" s="22" t="inlineStr">
        <is>
          <t>Name</t>
        </is>
      </c>
      <c r="B33" s="22" t="inlineStr">
        <is>
          <t>Position</t>
        </is>
      </c>
      <c r="C33" s="21" t="inlineStr">
        <is>
          <t>Hour Rate ($)</t>
        </is>
      </c>
      <c r="D33" s="38" t="inlineStr">
        <is>
          <t>Actual Time (MH)</t>
        </is>
      </c>
      <c r="E33" s="21" t="inlineStr">
        <is>
          <t>Onsite Rate ($)</t>
        </is>
      </c>
      <c r="F33" s="38" t="inlineStr">
        <is>
          <t>Actual Time Onsite (MH)</t>
        </is>
      </c>
      <c r="G33" s="22" t="inlineStr">
        <is>
          <t>Total Cost</t>
        </is>
      </c>
      <c r="H33" s="42" t="inlineStr">
        <is>
          <t>MD</t>
        </is>
      </c>
    </row>
    <row r="34" ht="15" customHeight="1" thickTop="1">
      <c r="B34" s="4" t="n"/>
      <c r="C34" s="320" t="n"/>
      <c r="E34" s="321" t="n"/>
      <c r="F34" s="24" t="n"/>
      <c r="G34" s="322" t="n"/>
      <c r="H34" s="44" t="n"/>
    </row>
    <row r="35" ht="15" customHeight="1">
      <c r="B35" s="4" t="n"/>
      <c r="C35" s="320" t="n"/>
      <c r="E35" s="321" t="n"/>
      <c r="G35" s="322" t="n"/>
      <c r="H35" s="44" t="n"/>
    </row>
    <row r="36" ht="14.45" customHeight="1">
      <c r="A36" s="27" t="n"/>
      <c r="C36" s="313" t="n"/>
      <c r="D36" s="2" t="n"/>
      <c r="E36" s="2" t="n"/>
      <c r="F36" s="2" t="n"/>
    </row>
    <row r="37" ht="14.45" customHeight="1">
      <c r="A37" s="276" t="inlineStr">
        <is>
          <t>Fill in below info from Contract:</t>
        </is>
      </c>
      <c r="C37" s="313" t="n"/>
      <c r="D37" s="2" t="n"/>
      <c r="E37" s="2" t="n"/>
      <c r="F37" s="2" t="n"/>
    </row>
    <row r="38" ht="14.45" customHeight="1">
      <c r="A38" s="324" t="n"/>
      <c r="B38" s="324" t="n"/>
      <c r="D38" s="5" t="inlineStr">
        <is>
          <t>TOTAL USD per month (22 days)</t>
        </is>
      </c>
      <c r="E38" s="5" t="n"/>
      <c r="F38" s="5" t="n"/>
      <c r="G38" s="328">
        <f>SUM(G34:G35)</f>
        <v/>
      </c>
      <c r="H38" s="2" t="n"/>
    </row>
    <row r="39" ht="14.45" customHeight="1">
      <c r="A39" s="46" t="inlineStr">
        <is>
          <t>Contract Period in months</t>
        </is>
      </c>
      <c r="B39" s="49" t="n">
        <v>0</v>
      </c>
      <c r="C39" s="2" t="n"/>
      <c r="D39" s="6" t="inlineStr">
        <is>
          <t>TOTAL Estimated Cost per month (22 days) SAR</t>
        </is>
      </c>
      <c r="E39" s="6" t="n"/>
      <c r="F39" s="6" t="n"/>
      <c r="G39" s="329">
        <f>G38*3.75</f>
        <v/>
      </c>
      <c r="H39" s="2" t="n"/>
    </row>
    <row r="40" ht="14.45" customHeight="1">
      <c r="A40" s="47" t="inlineStr">
        <is>
          <t>No of Resources required</t>
        </is>
      </c>
      <c r="B40" s="45">
        <f>COUNTA(Table_67811[Name])</f>
        <v/>
      </c>
      <c r="D40" s="6" t="inlineStr">
        <is>
          <t>TOTAL Estimated Cost per Day SAR</t>
        </is>
      </c>
      <c r="E40" s="6" t="n"/>
      <c r="F40" s="6" t="n"/>
      <c r="G40" s="329">
        <f>G39/22</f>
        <v/>
      </c>
    </row>
    <row r="41">
      <c r="A41" s="47" t="inlineStr">
        <is>
          <t>Total Mandays estimated for the project</t>
        </is>
      </c>
      <c r="B41" s="45">
        <f>B39*22*B40</f>
        <v/>
      </c>
      <c r="D41" s="30" t="inlineStr">
        <is>
          <t>Cost for 7 months</t>
        </is>
      </c>
      <c r="E41" s="30" t="n"/>
      <c r="F41" s="30" t="n"/>
      <c r="G41" s="330">
        <f>G39*34</f>
        <v/>
      </c>
    </row>
  </sheetData>
  <mergeCells count="4">
    <mergeCell ref="A32:H32"/>
    <mergeCell ref="A37:B38"/>
    <mergeCell ref="A2:H2"/>
    <mergeCell ref="A24:B2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:H33"/>
  <sheetViews>
    <sheetView showGridLines="0" topLeftCell="A12" zoomScaleNormal="100" workbookViewId="0">
      <selection activeCell="G31" sqref="G31"/>
    </sheetView>
  </sheetViews>
  <sheetFormatPr baseColWidth="8" defaultColWidth="9.375" defaultRowHeight="15" customHeight="1"/>
  <cols>
    <col width="32" customWidth="1" min="1" max="1"/>
    <col width="20.375" customWidth="1" min="2" max="2"/>
    <col width="40.375" bestFit="1" customWidth="1" style="36" min="3" max="3"/>
    <col width="19" customWidth="1" min="4" max="5"/>
    <col width="14.375" bestFit="1" customWidth="1" min="6" max="6"/>
    <col width="14.375" customWidth="1" min="8" max="8"/>
    <col width="18.375" customWidth="1" min="9" max="9"/>
    <col width="14" customWidth="1" min="10" max="10"/>
  </cols>
  <sheetData>
    <row r="1" ht="14.1" customHeight="1"/>
    <row r="2" ht="14.1" customHeight="1"/>
    <row r="3" ht="14.1" customHeight="1"/>
    <row r="4" ht="14.1" customHeight="1"/>
    <row r="5" ht="18.6" customHeight="1">
      <c r="A5" s="275" t="n"/>
      <c r="E5" s="275" t="n"/>
      <c r="F5" s="130" t="n"/>
      <c r="G5" s="130" t="n"/>
    </row>
    <row r="6" ht="34.5" customHeight="1" thickBot="1">
      <c r="A6" s="22" t="inlineStr">
        <is>
          <t>Position</t>
        </is>
      </c>
      <c r="B6" s="126" t="inlineStr">
        <is>
          <t>Hour Rate ($)</t>
        </is>
      </c>
      <c r="C6" s="38" t="inlineStr">
        <is>
          <t>Actual Time (MH)</t>
        </is>
      </c>
      <c r="D6" s="22" t="inlineStr">
        <is>
          <t>Cost per month</t>
        </is>
      </c>
      <c r="E6" s="38" t="inlineStr">
        <is>
          <t>Estimated # of Months</t>
        </is>
      </c>
      <c r="F6" s="38" t="inlineStr">
        <is>
          <t>Total cost USD</t>
        </is>
      </c>
      <c r="G6" s="38" t="inlineStr">
        <is>
          <t>Total No of MDs</t>
        </is>
      </c>
      <c r="H6" t="inlineStr">
        <is>
          <t>Column1</t>
        </is>
      </c>
    </row>
    <row r="7" ht="18" customHeight="1" thickBot="1" thickTop="1">
      <c r="A7" s="197" t="inlineStr">
        <is>
          <t>KSA - Project Manager</t>
        </is>
      </c>
      <c r="B7" s="331">
        <f>VLOOKUP(A:A,[1]Positions2024!A:B,2,0)</f>
        <v/>
      </c>
      <c r="C7" s="127" t="n">
        <v>176</v>
      </c>
      <c r="D7" s="332">
        <f>[1]!Table_67124[[#This Row],[Hour Rate ($)]]*[1]!Table_67124[[#This Row],[Actual Time (MH)]]</f>
        <v/>
      </c>
      <c r="E7" s="333" t="n">
        <v>16</v>
      </c>
      <c r="F7" s="312">
        <f>[1]!Table_67124[[#This Row],[Estimated '# of Months]]*[1]!Table_67124[[#This Row],[Cost per month]]</f>
        <v/>
      </c>
      <c r="G7" s="310">
        <f>([1]!Table_67124[[#This Row],[Actual Time (MH)]])*[1]!Table_67124[[#This Row],[Estimated '# of Months]]/8</f>
        <v/>
      </c>
      <c r="H7" s="37">
        <f>[1]!Table_67124[[#This Row],[Total cost USD]]*3.75</f>
        <v/>
      </c>
    </row>
    <row r="8" ht="18" customHeight="1" thickBot="1" thickTop="1">
      <c r="A8" s="197" t="inlineStr">
        <is>
          <t>EGY - Lead Software Engineer</t>
        </is>
      </c>
      <c r="B8" s="331">
        <f>VLOOKUP(A:A,[1]Positions2024!A:B,2,0)</f>
        <v/>
      </c>
      <c r="C8" s="127" t="n">
        <v>176</v>
      </c>
      <c r="D8" s="332">
        <f>[1]!Table_67124[[#This Row],[Hour Rate ($)]]*[1]!Table_67124[[#This Row],[Actual Time (MH)]]</f>
        <v/>
      </c>
      <c r="E8" s="333" t="n">
        <v>16</v>
      </c>
      <c r="F8" s="312">
        <f>[1]!Table_67124[[#This Row],[Estimated '# of Months]]*[1]!Table_67124[[#This Row],[Cost per month]]</f>
        <v/>
      </c>
      <c r="G8" s="310">
        <f>([1]!Table_67124[[#This Row],[Actual Time (MH)]])*[1]!Table_67124[[#This Row],[Estimated '# of Months]]/8</f>
        <v/>
      </c>
      <c r="H8" s="37">
        <f>[1]!Table_67124[[#This Row],[Total cost USD]]*3.75</f>
        <v/>
      </c>
    </row>
    <row r="9" ht="18" customHeight="1" thickBot="1" thickTop="1">
      <c r="A9" s="197" t="inlineStr">
        <is>
          <t>KSA - Lead Software Engineer</t>
        </is>
      </c>
      <c r="B9" s="331">
        <f>VLOOKUP(A:A,[1]Positions2024!A:B,2,0)</f>
        <v/>
      </c>
      <c r="C9" s="127" t="n">
        <v>176</v>
      </c>
      <c r="D9" s="332">
        <f>[1]!Table_67124[[#This Row],[Hour Rate ($)]]*[1]!Table_67124[[#This Row],[Actual Time (MH)]]</f>
        <v/>
      </c>
      <c r="E9" s="333" t="n">
        <v>16</v>
      </c>
      <c r="F9" s="312">
        <f>[1]!Table_67124[[#This Row],[Estimated '# of Months]]*[1]!Table_67124[[#This Row],[Cost per month]]</f>
        <v/>
      </c>
      <c r="G9" s="310">
        <f>([1]!Table_67124[[#This Row],[Actual Time (MH)]])*[1]!Table_67124[[#This Row],[Estimated '# of Months]]/8</f>
        <v/>
      </c>
      <c r="H9" s="37">
        <f>[1]!Table_67124[[#This Row],[Total cost USD]]*3.75</f>
        <v/>
      </c>
    </row>
    <row r="10" ht="18" customHeight="1" thickBot="1" thickTop="1">
      <c r="A10" s="197" t="inlineStr">
        <is>
          <t>KSA - Sr. Software Engineer</t>
        </is>
      </c>
      <c r="B10" s="331">
        <f>VLOOKUP(A:A,[1]Positions2024!A:B,2,0)</f>
        <v/>
      </c>
      <c r="C10" s="127" t="n">
        <v>176</v>
      </c>
      <c r="D10" s="332">
        <f>[1]!Table_67124[[#This Row],[Hour Rate ($)]]*[1]!Table_67124[[#This Row],[Actual Time (MH)]]</f>
        <v/>
      </c>
      <c r="E10" s="333" t="n">
        <v>16</v>
      </c>
      <c r="F10" s="312">
        <f>[1]!Table_67124[[#This Row],[Estimated '# of Months]]*[1]!Table_67124[[#This Row],[Cost per month]]</f>
        <v/>
      </c>
      <c r="G10" s="310">
        <f>([1]!Table_67124[[#This Row],[Actual Time (MH)]])*[1]!Table_67124[[#This Row],[Estimated '# of Months]]/8</f>
        <v/>
      </c>
      <c r="H10" s="37">
        <f>[1]!Table_67124[[#This Row],[Total cost USD]]*3.75</f>
        <v/>
      </c>
    </row>
    <row r="11" ht="18" customHeight="1" thickBot="1" thickTop="1">
      <c r="A11" s="197" t="inlineStr">
        <is>
          <t>KSA - Sr. Software Engineer</t>
        </is>
      </c>
      <c r="B11" s="331">
        <f>VLOOKUP(A:A,[1]Positions2024!A:B,2,0)</f>
        <v/>
      </c>
      <c r="C11" s="127" t="n">
        <v>176</v>
      </c>
      <c r="D11" s="332">
        <f>[1]!Table_67124[[#This Row],[Hour Rate ($)]]*[1]!Table_67124[[#This Row],[Actual Time (MH)]]</f>
        <v/>
      </c>
      <c r="E11" s="333" t="n">
        <v>16</v>
      </c>
      <c r="F11" s="312">
        <f>[1]!Table_67124[[#This Row],[Estimated '# of Months]]*[1]!Table_67124[[#This Row],[Cost per month]]</f>
        <v/>
      </c>
      <c r="G11" s="310">
        <f>([1]!Table_67124[[#This Row],[Actual Time (MH)]])*[1]!Table_67124[[#This Row],[Estimated '# of Months]]/8</f>
        <v/>
      </c>
      <c r="H11" s="37">
        <f>[1]!Table_67124[[#This Row],[Total cost USD]]*3.75</f>
        <v/>
      </c>
    </row>
    <row r="12" ht="18" customHeight="1" thickBot="1" thickTop="1">
      <c r="A12" s="197" t="inlineStr">
        <is>
          <t>KSA - Software Engineer</t>
        </is>
      </c>
      <c r="B12" s="331">
        <f>VLOOKUP(A:A,[1]Positions2024!A:B,2,0)</f>
        <v/>
      </c>
      <c r="C12" s="127" t="n">
        <v>176</v>
      </c>
      <c r="D12" s="332">
        <f>[1]!Table_67124[[#This Row],[Hour Rate ($)]]*[1]!Table_67124[[#This Row],[Actual Time (MH)]]</f>
        <v/>
      </c>
      <c r="E12" s="333" t="n">
        <v>16</v>
      </c>
      <c r="F12" s="312">
        <f>[1]!Table_67124[[#This Row],[Estimated '# of Months]]*[1]!Table_67124[[#This Row],[Cost per month]]</f>
        <v/>
      </c>
      <c r="G12" s="310">
        <f>([1]!Table_67124[[#This Row],[Actual Time (MH)]])*[1]!Table_67124[[#This Row],[Estimated '# of Months]]/8</f>
        <v/>
      </c>
      <c r="H12" s="37">
        <f>[1]!Table_67124[[#This Row],[Total cost USD]]*3.75</f>
        <v/>
      </c>
    </row>
    <row r="13" ht="18" customHeight="1" thickBot="1" thickTop="1">
      <c r="A13" s="197" t="inlineStr">
        <is>
          <t>EGY - Sr. Software Engineer</t>
        </is>
      </c>
      <c r="B13" s="331">
        <f>VLOOKUP(A:A,[1]Positions2024!A:B,2,0)</f>
        <v/>
      </c>
      <c r="C13" s="127" t="n">
        <v>176</v>
      </c>
      <c r="D13" s="332">
        <f>[1]!Table_67124[[#This Row],[Hour Rate ($)]]*[1]!Table_67124[[#This Row],[Actual Time (MH)]]</f>
        <v/>
      </c>
      <c r="E13" s="333" t="n">
        <v>16</v>
      </c>
      <c r="F13" s="334">
        <f>[1]!Table_67124[[#This Row],[Estimated '# of Months]]*[1]!Table_67124[[#This Row],[Cost per month]]</f>
        <v/>
      </c>
      <c r="G13" s="310">
        <f>([1]!Table_67124[[#This Row],[Actual Time (MH)]])*[1]!Table_67124[[#This Row],[Estimated '# of Months]]/8</f>
        <v/>
      </c>
      <c r="H13" s="37">
        <f>[1]!Table_67124[[#This Row],[Total cost USD]]*3.75</f>
        <v/>
      </c>
    </row>
    <row r="14" ht="18" customHeight="1" thickBot="1" thickTop="1">
      <c r="A14" s="197" t="inlineStr">
        <is>
          <t>EGY - Sr. Software Engineer</t>
        </is>
      </c>
      <c r="B14" s="331">
        <f>VLOOKUP(A:A,[1]Positions2024!A:B,2,0)</f>
        <v/>
      </c>
      <c r="C14" s="127" t="n">
        <v>176</v>
      </c>
      <c r="D14" s="332">
        <f>[1]!Table_67124[[#This Row],[Hour Rate ($)]]*[1]!Table_67124[[#This Row],[Actual Time (MH)]]</f>
        <v/>
      </c>
      <c r="E14" s="333" t="n">
        <v>16</v>
      </c>
      <c r="F14" s="334">
        <f>[1]!Table_67124[[#This Row],[Estimated '# of Months]]*[1]!Table_67124[[#This Row],[Cost per month]]</f>
        <v/>
      </c>
      <c r="G14" s="310">
        <f>([1]!Table_67124[[#This Row],[Actual Time (MH)]])*[1]!Table_67124[[#This Row],[Estimated '# of Months]]/8</f>
        <v/>
      </c>
      <c r="H14" s="37">
        <f>[1]!Table_67124[[#This Row],[Total cost USD]]*3.75</f>
        <v/>
      </c>
    </row>
    <row r="15" ht="18" customHeight="1" thickBot="1" thickTop="1">
      <c r="A15" s="197" t="inlineStr">
        <is>
          <t>EGY - Software Engineer</t>
        </is>
      </c>
      <c r="B15" s="331">
        <f>VLOOKUP(A:A,[1]Positions2024!A:B,2,0)</f>
        <v/>
      </c>
      <c r="C15" s="127" t="n">
        <v>176</v>
      </c>
      <c r="D15" s="332">
        <f>[1]!Table_67124[[#This Row],[Hour Rate ($)]]*[1]!Table_67124[[#This Row],[Actual Time (MH)]]</f>
        <v/>
      </c>
      <c r="E15" s="333" t="n">
        <v>16</v>
      </c>
      <c r="F15" s="334">
        <f>[1]!Table_67124[[#This Row],[Estimated '# of Months]]*[1]!Table_67124[[#This Row],[Cost per month]]</f>
        <v/>
      </c>
      <c r="G15" s="310">
        <f>([1]!Table_67124[[#This Row],[Actual Time (MH)]])*[1]!Table_67124[[#This Row],[Estimated '# of Months]]/8</f>
        <v/>
      </c>
      <c r="H15" s="37">
        <f>[1]!Table_67124[[#This Row],[Total cost USD]]*3.75</f>
        <v/>
      </c>
    </row>
    <row r="16" ht="18" customHeight="1" thickBot="1" thickTop="1">
      <c r="A16" s="197" t="inlineStr">
        <is>
          <t>EGY - Software Engineer</t>
        </is>
      </c>
      <c r="B16" s="331">
        <f>VLOOKUP(A:A,[1]Positions2024!A:B,2,0)</f>
        <v/>
      </c>
      <c r="C16" s="127" t="n">
        <v>176</v>
      </c>
      <c r="D16" s="332">
        <f>[1]!Table_67124[[#This Row],[Hour Rate ($)]]*[1]!Table_67124[[#This Row],[Actual Time (MH)]]</f>
        <v/>
      </c>
      <c r="E16" s="333" t="n">
        <v>16</v>
      </c>
      <c r="F16" s="334">
        <f>[1]!Table_67124[[#This Row],[Estimated '# of Months]]*[1]!Table_67124[[#This Row],[Cost per month]]</f>
        <v/>
      </c>
      <c r="G16" s="310">
        <f>([1]!Table_67124[[#This Row],[Actual Time (MH)]])*[1]!Table_67124[[#This Row],[Estimated '# of Months]]/8</f>
        <v/>
      </c>
      <c r="H16" s="37">
        <f>[1]!Table_67124[[#This Row],[Total cost USD]]*3.75</f>
        <v/>
      </c>
    </row>
    <row r="17" ht="18" customHeight="1" thickBot="1" thickTop="1">
      <c r="A17" s="197" t="inlineStr">
        <is>
          <t>EGY - Software Engineer</t>
        </is>
      </c>
      <c r="B17" s="331">
        <f>VLOOKUP(A:A,[1]Positions2024!A:B,2,0)</f>
        <v/>
      </c>
      <c r="C17" s="127" t="n">
        <v>176</v>
      </c>
      <c r="D17" s="332">
        <f>[1]!Table_67124[[#This Row],[Hour Rate ($)]]*[1]!Table_67124[[#This Row],[Actual Time (MH)]]</f>
        <v/>
      </c>
      <c r="E17" s="333" t="n">
        <v>16</v>
      </c>
      <c r="F17" s="334">
        <f>[1]!Table_67124[[#This Row],[Estimated '# of Months]]*[1]!Table_67124[[#This Row],[Cost per month]]</f>
        <v/>
      </c>
      <c r="G17" s="310">
        <f>([1]!Table_67124[[#This Row],[Actual Time (MH)]])*[1]!Table_67124[[#This Row],[Estimated '# of Months]]/8</f>
        <v/>
      </c>
      <c r="H17" s="37">
        <f>[1]!Table_67124[[#This Row],[Total cost USD]]*3.75</f>
        <v/>
      </c>
    </row>
    <row r="18" ht="18" customHeight="1" thickBot="1" thickTop="1">
      <c r="A18" s="197" t="inlineStr">
        <is>
          <t>EGY - Software Engineer</t>
        </is>
      </c>
      <c r="B18" s="331">
        <f>VLOOKUP(A:A,[1]Positions2024!A:B,2,0)</f>
        <v/>
      </c>
      <c r="C18" s="127" t="n">
        <v>176</v>
      </c>
      <c r="D18" s="332">
        <f>[1]!Table_67124[[#This Row],[Hour Rate ($)]]*[1]!Table_67124[[#This Row],[Actual Time (MH)]]</f>
        <v/>
      </c>
      <c r="E18" s="333" t="n">
        <v>16</v>
      </c>
      <c r="F18" s="334">
        <f>[1]!Table_67124[[#This Row],[Estimated '# of Months]]*[1]!Table_67124[[#This Row],[Cost per month]]</f>
        <v/>
      </c>
      <c r="G18" s="310">
        <f>([1]!Table_67124[[#This Row],[Actual Time (MH)]])*[1]!Table_67124[[#This Row],[Estimated '# of Months]]/8</f>
        <v/>
      </c>
      <c r="H18" s="37">
        <f>[1]!Table_67124[[#This Row],[Total cost USD]]*3.75</f>
        <v/>
      </c>
    </row>
    <row r="19" ht="18" customHeight="1" thickBot="1" thickTop="1">
      <c r="A19" s="197" t="inlineStr">
        <is>
          <t>EGY - Software Engineer</t>
        </is>
      </c>
      <c r="B19" s="331">
        <f>VLOOKUP(A:A,[1]Positions2024!A:B,2,0)</f>
        <v/>
      </c>
      <c r="C19" s="127" t="n">
        <v>176</v>
      </c>
      <c r="D19" s="332">
        <f>[1]!Table_67124[[#This Row],[Hour Rate ($)]]*[1]!Table_67124[[#This Row],[Actual Time (MH)]]</f>
        <v/>
      </c>
      <c r="E19" s="333" t="n">
        <v>16</v>
      </c>
      <c r="F19" s="334">
        <f>[1]!Table_67124[[#This Row],[Estimated '# of Months]]*[1]!Table_67124[[#This Row],[Cost per month]]</f>
        <v/>
      </c>
      <c r="G19" s="310">
        <f>([1]!Table_67124[[#This Row],[Actual Time (MH)]])*[1]!Table_67124[[#This Row],[Estimated '# of Months]]/8</f>
        <v/>
      </c>
      <c r="H19" s="37">
        <f>[1]!Table_67124[[#This Row],[Total cost USD]]*3.75</f>
        <v/>
      </c>
    </row>
    <row r="20" ht="18" customHeight="1" thickBot="1" thickTop="1">
      <c r="A20" s="197" t="inlineStr">
        <is>
          <t>KSA- Sr Business Analyst</t>
        </is>
      </c>
      <c r="B20" s="331">
        <f>VLOOKUP(A:A,[1]Positions2024!A:B,2,0)</f>
        <v/>
      </c>
      <c r="C20" s="127" t="n">
        <v>176</v>
      </c>
      <c r="D20" s="332">
        <f>[1]!Table_67124[[#This Row],[Hour Rate ($)]]*[1]!Table_67124[[#This Row],[Actual Time (MH)]]</f>
        <v/>
      </c>
      <c r="E20" s="333" t="n">
        <v>15</v>
      </c>
      <c r="F20" s="334">
        <f>[1]!Table_67124[[#This Row],[Estimated '# of Months]]*[1]!Table_67124[[#This Row],[Cost per month]]</f>
        <v/>
      </c>
      <c r="G20" s="310">
        <f>([1]!Table_67124[[#This Row],[Actual Time (MH)]])*[1]!Table_67124[[#This Row],[Estimated '# of Months]]/8</f>
        <v/>
      </c>
      <c r="H20" s="37">
        <f>[1]!Table_67124[[#This Row],[Total cost USD]]*3.75</f>
        <v/>
      </c>
    </row>
    <row r="21" ht="15" customHeight="1" thickBot="1" thickTop="1">
      <c r="A21" s="197" t="inlineStr">
        <is>
          <t>KSA- Sr Business Analyst</t>
        </is>
      </c>
      <c r="B21" s="331">
        <f>VLOOKUP(A:A,[1]Positions2024!A:B,2,0)</f>
        <v/>
      </c>
      <c r="C21" s="127" t="n">
        <v>176</v>
      </c>
      <c r="D21" s="332">
        <f>[1]!Table_67124[[#This Row],[Hour Rate ($)]]*[1]!Table_67124[[#This Row],[Actual Time (MH)]]</f>
        <v/>
      </c>
      <c r="E21" s="333" t="n">
        <v>15</v>
      </c>
      <c r="F21" s="312">
        <f>[1]!Table_67124[[#This Row],[Estimated '# of Months]]*[1]!Table_67124[[#This Row],[Cost per month]]</f>
        <v/>
      </c>
      <c r="G21" s="310">
        <f>([1]!Table_67124[[#This Row],[Actual Time (MH)]])*[1]!Table_67124[[#This Row],[Estimated '# of Months]]/8</f>
        <v/>
      </c>
      <c r="H21" s="37">
        <f>[1]!Table_67124[[#This Row],[Total cost USD]]*3.75</f>
        <v/>
      </c>
    </row>
    <row r="22" ht="15" customHeight="1" thickBot="1" thickTop="1">
      <c r="A22" s="197" t="inlineStr">
        <is>
          <t>EGY - Sr Quality Engineer</t>
        </is>
      </c>
      <c r="B22" s="331">
        <f>VLOOKUP(A:A,[1]Positions2024!A:B,2,0)</f>
        <v/>
      </c>
      <c r="C22" s="127" t="n">
        <v>176</v>
      </c>
      <c r="D22" s="332">
        <f>[1]!Table_67124[[#This Row],[Hour Rate ($)]]*[1]!Table_67124[[#This Row],[Actual Time (MH)]]</f>
        <v/>
      </c>
      <c r="E22" s="333" t="n">
        <v>15</v>
      </c>
      <c r="F22" s="334">
        <f>[1]!Table_67124[[#This Row],[Estimated '# of Months]]*[1]!Table_67124[[#This Row],[Cost per month]]</f>
        <v/>
      </c>
      <c r="G22" s="310">
        <f>([1]!Table_67124[[#This Row],[Actual Time (MH)]])*[1]!Table_67124[[#This Row],[Estimated '# of Months]]/8</f>
        <v/>
      </c>
      <c r="H22" s="37">
        <f>[1]!Table_67124[[#This Row],[Total cost USD]]*3.75</f>
        <v/>
      </c>
    </row>
    <row r="23" ht="15" customHeight="1" thickBot="1" thickTop="1">
      <c r="A23" s="197" t="inlineStr">
        <is>
          <t>EGY - Sr Quality Engineer</t>
        </is>
      </c>
      <c r="B23" s="331">
        <f>VLOOKUP(A:A,[1]Positions2024!A:B,2,0)</f>
        <v/>
      </c>
      <c r="C23" s="127" t="n">
        <v>176</v>
      </c>
      <c r="D23" s="332">
        <f>[1]!Table_67124[[#This Row],[Hour Rate ($)]]*[1]!Table_67124[[#This Row],[Actual Time (MH)]]</f>
        <v/>
      </c>
      <c r="E23" s="333" t="n">
        <v>15</v>
      </c>
      <c r="F23" s="334">
        <f>[1]!Table_67124[[#This Row],[Estimated '# of Months]]*[1]!Table_67124[[#This Row],[Cost per month]]</f>
        <v/>
      </c>
      <c r="G23" s="310">
        <f>([1]!Table_67124[[#This Row],[Actual Time (MH)]])*[1]!Table_67124[[#This Row],[Estimated '# of Months]]/8</f>
        <v/>
      </c>
      <c r="H23" s="37">
        <f>[1]!Table_67124[[#This Row],[Total cost USD]]*3.75</f>
        <v/>
      </c>
    </row>
    <row r="24" ht="15" customHeight="1" thickBot="1" thickTop="1">
      <c r="A24" s="197" t="inlineStr">
        <is>
          <t>EGY - Sr UX Designer</t>
        </is>
      </c>
      <c r="B24" s="331">
        <f>VLOOKUP(A:A,[1]Positions2024!A:B,2,0)</f>
        <v/>
      </c>
      <c r="C24" s="127" t="n">
        <v>176</v>
      </c>
      <c r="D24" s="332">
        <f>[1]!Table_67124[[#This Row],[Hour Rate ($)]]*[1]!Table_67124[[#This Row],[Actual Time (MH)]]</f>
        <v/>
      </c>
      <c r="E24" s="333" t="n">
        <v>12</v>
      </c>
      <c r="F24" s="334">
        <f>[1]!Table_67124[[#This Row],[Estimated '# of Months]]*[1]!Table_67124[[#This Row],[Cost per month]]</f>
        <v/>
      </c>
      <c r="G24" s="310">
        <f>([1]!Table_67124[[#This Row],[Actual Time (MH)]])*[1]!Table_67124[[#This Row],[Estimated '# of Months]]/8</f>
        <v/>
      </c>
      <c r="H24" s="37">
        <f>[1]!Table_67124[[#This Row],[Total cost USD]]*3.75</f>
        <v/>
      </c>
    </row>
    <row r="25" ht="15" customHeight="1" thickBot="1" thickTop="1">
      <c r="A25" s="197" t="inlineStr">
        <is>
          <t>KSA - Sr. Technical Support</t>
        </is>
      </c>
      <c r="B25" s="331">
        <f>VLOOKUP(A:A,[1]Positions2024!A:B,2,0)</f>
        <v/>
      </c>
      <c r="C25" s="127" t="n">
        <v>176</v>
      </c>
      <c r="D25" s="332">
        <f>[1]!Table_67124[[#This Row],[Hour Rate ($)]]*[1]!Table_67124[[#This Row],[Actual Time (MH)]]</f>
        <v/>
      </c>
      <c r="E25" s="333" t="n">
        <v>6</v>
      </c>
      <c r="F25" s="334">
        <f>[1]!Table_67124[[#This Row],[Estimated '# of Months]]*[1]!Table_67124[[#This Row],[Cost per month]]</f>
        <v/>
      </c>
      <c r="G25" s="310">
        <f>([1]!Table_67124[[#This Row],[Actual Time (MH)]])*[1]!Table_67124[[#This Row],[Estimated '# of Months]]/8</f>
        <v/>
      </c>
      <c r="H25" s="37">
        <f>[1]!Table_67124[[#This Row],[Total cost USD]]*3.75</f>
        <v/>
      </c>
    </row>
    <row r="26" ht="15" customHeight="1" thickTop="1">
      <c r="A26" s="197" t="inlineStr">
        <is>
          <t>KSA - Sr. Software Engineer</t>
        </is>
      </c>
      <c r="B26" s="331">
        <f>VLOOKUP(A:A,[1]Positions2024!A:B,2,0)</f>
        <v/>
      </c>
      <c r="C26" s="127" t="n">
        <v>176</v>
      </c>
      <c r="D26" s="332">
        <f>[1]!Table_67124[[#This Row],[Hour Rate ($)]]*[1]!Table_67124[[#This Row],[Actual Time (MH)]]</f>
        <v/>
      </c>
      <c r="E26" s="333" t="n">
        <v>12</v>
      </c>
      <c r="F26" s="334">
        <f>[1]!Table_67124[[#This Row],[Estimated '# of Months]]*[1]!Table_67124[[#This Row],[Cost per month]]</f>
        <v/>
      </c>
      <c r="G26" s="310">
        <f>([1]!Table_67124[[#This Row],[Actual Time (MH)]])*[1]!Table_67124[[#This Row],[Estimated '# of Months]]/8</f>
        <v/>
      </c>
      <c r="H26" s="37">
        <f>[1]!Table_67124[[#This Row],[Total cost USD]]*3.75</f>
        <v/>
      </c>
    </row>
    <row r="27" ht="15" customHeight="1">
      <c r="B27" s="313" t="n"/>
      <c r="C27" s="73" t="n"/>
      <c r="D27" s="323" t="n"/>
      <c r="E27" s="323" t="n"/>
      <c r="F27" s="335">
        <f>SUM(Table_67124[Total cost USD])</f>
        <v/>
      </c>
      <c r="G27" s="335">
        <f>SUBTOTAL(109,Table_67124[Total No of MDs])</f>
        <v/>
      </c>
    </row>
    <row r="28" ht="15" customHeight="1">
      <c r="A28" s="276" t="n"/>
      <c r="B28" s="313" t="n"/>
      <c r="C28" s="73" t="n"/>
    </row>
    <row r="29" ht="15" customHeight="1">
      <c r="A29" s="324" t="n"/>
      <c r="C29" s="119" t="inlineStr">
        <is>
          <t>TOTAL USD per month (22 days)</t>
        </is>
      </c>
      <c r="D29" s="336">
        <f>SUM(D7:D26)</f>
        <v/>
      </c>
      <c r="E29" s="336" t="n"/>
    </row>
    <row r="30" ht="15" customHeight="1">
      <c r="B30" s="2" t="n"/>
      <c r="C30" s="117" t="inlineStr">
        <is>
          <t>TOTAL Estimated Cost per month (22 days) SAR</t>
        </is>
      </c>
      <c r="D30" s="337">
        <f>D29*3.75</f>
        <v/>
      </c>
      <c r="E30" s="338" t="n"/>
    </row>
    <row r="31" ht="15" customHeight="1">
      <c r="C31" s="123" t="inlineStr">
        <is>
          <t>Estimated MDs / Month</t>
        </is>
      </c>
      <c r="D31" s="125">
        <f>(SUM(Table_67124[Actual Time (MH)]))/8</f>
        <v/>
      </c>
      <c r="E31" s="339" t="n"/>
    </row>
    <row r="32" ht="15" customHeight="1">
      <c r="C32" s="117" t="inlineStr">
        <is>
          <t>TOTAL Estimated Cost per MD SAR</t>
        </is>
      </c>
      <c r="D32" s="337">
        <f>D30/D31</f>
        <v/>
      </c>
      <c r="E32" s="338" t="n"/>
    </row>
    <row r="33" ht="15" customHeight="1">
      <c r="C33" s="115" t="inlineStr">
        <is>
          <t>Total project estimated Cost (SAR)</t>
        </is>
      </c>
      <c r="D33" s="340">
        <f>Table_67124[[#Totals],[Total cost USD]]*3.75</f>
        <v/>
      </c>
      <c r="E33" s="340" t="n"/>
    </row>
    <row r="37" ht="14.1" customHeight="1"/>
    <row r="38" ht="14.1" customHeight="1"/>
    <row r="41" ht="14.1" customHeight="1"/>
    <row r="42" ht="14.1" customHeight="1"/>
    <row r="43" ht="14.1" customHeight="1"/>
  </sheetData>
  <mergeCells count="2">
    <mergeCell ref="A5:D5"/>
    <mergeCell ref="A28:A2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:H23"/>
  <sheetViews>
    <sheetView showGridLines="0" topLeftCell="C5" zoomScaleNormal="80" workbookViewId="0">
      <selection activeCell="I18" sqref="I18"/>
    </sheetView>
  </sheetViews>
  <sheetFormatPr baseColWidth="8" defaultColWidth="9.375" defaultRowHeight="15" customHeight="1"/>
  <cols>
    <col width="32" customWidth="1" min="1" max="1"/>
    <col width="20.375" customWidth="1" min="2" max="2"/>
    <col width="40.375" bestFit="1" customWidth="1" style="36" min="3" max="3"/>
    <col width="19" customWidth="1" min="4" max="5"/>
    <col width="14.375" bestFit="1" customWidth="1" min="6" max="6"/>
    <col width="31" customWidth="1" min="7" max="7"/>
    <col width="14.375" customWidth="1" min="8" max="8"/>
    <col width="18.375" customWidth="1" min="9" max="9"/>
    <col width="14" customWidth="1" min="10" max="10"/>
  </cols>
  <sheetData>
    <row r="1" ht="14.1" customHeight="1"/>
    <row r="2" ht="14.1" customHeight="1"/>
    <row r="3" ht="14.1" customHeight="1"/>
    <row r="4" ht="14.1" customHeight="1"/>
    <row r="5" ht="18" customHeight="1">
      <c r="A5" s="275" t="n"/>
      <c r="E5" s="275" t="n"/>
      <c r="F5" s="130" t="n"/>
      <c r="G5" s="130" t="n"/>
    </row>
    <row r="6" ht="33.95" customHeight="1">
      <c r="A6" s="22" t="inlineStr">
        <is>
          <t>Position</t>
        </is>
      </c>
      <c r="B6" s="126" t="inlineStr">
        <is>
          <t>Hour Rate ($)</t>
        </is>
      </c>
      <c r="C6" s="38" t="inlineStr">
        <is>
          <t>Actual Time (MH)</t>
        </is>
      </c>
      <c r="D6" s="22" t="inlineStr">
        <is>
          <t>Cost per month</t>
        </is>
      </c>
      <c r="E6" s="38" t="inlineStr">
        <is>
          <t>Estimated # of Months</t>
        </is>
      </c>
      <c r="F6" s="38" t="inlineStr">
        <is>
          <t>Total cost USD</t>
        </is>
      </c>
      <c r="G6" s="38" t="inlineStr">
        <is>
          <t>Total No of MDs</t>
        </is>
      </c>
      <c r="H6" t="inlineStr">
        <is>
          <t>Column1</t>
        </is>
      </c>
    </row>
    <row r="7" ht="17.1" customHeight="1">
      <c r="A7" s="197" t="inlineStr">
        <is>
          <t>KSA - Solution Architect / Manager</t>
        </is>
      </c>
      <c r="B7" s="331">
        <f>VLOOKUP(A:A,Positions2024!A:B,2,0)</f>
        <v/>
      </c>
      <c r="C7" s="127" t="n">
        <v>176</v>
      </c>
      <c r="D7" s="332">
        <f>Table_6712[[#This Row],[Hour Rate ($)]]*Table_6712[[#This Row],[Actual Time (MH)]]</f>
        <v/>
      </c>
      <c r="E7" s="333" t="n">
        <v>12</v>
      </c>
      <c r="F7" s="334">
        <f>Table_6712[[#This Row],[Estimated '# of Months]]*Table_6712[[#This Row],[Cost per month]]</f>
        <v/>
      </c>
      <c r="G7" s="310">
        <f>(Table_6712[[#This Row],[Actual Time (MH)]])*Table_6712[[#This Row],[Estimated '# of Months]]/8</f>
        <v/>
      </c>
      <c r="H7" s="37">
        <f>Table_6712[[#This Row],[Total cost USD]]*3.75</f>
        <v/>
      </c>
    </row>
    <row r="8" ht="17.1" customHeight="1">
      <c r="A8" s="197" t="inlineStr">
        <is>
          <t>KSA - Solution Architect / Manager</t>
        </is>
      </c>
      <c r="B8" s="331">
        <f>VLOOKUP(A:A,Positions2024!A:B,2,0)</f>
        <v/>
      </c>
      <c r="C8" s="127" t="n">
        <v>176</v>
      </c>
      <c r="D8" s="332">
        <f>Table_6712[[#This Row],[Hour Rate ($)]]*Table_6712[[#This Row],[Actual Time (MH)]]</f>
        <v/>
      </c>
      <c r="E8" s="333" t="n">
        <v>3</v>
      </c>
      <c r="F8" s="334">
        <f>Table_6712[[#This Row],[Estimated '# of Months]]*Table_6712[[#This Row],[Cost per month]]</f>
        <v/>
      </c>
      <c r="G8" s="310">
        <f>(Table_6712[[#This Row],[Actual Time (MH)]])*Table_6712[[#This Row],[Estimated '# of Months]]/8</f>
        <v/>
      </c>
      <c r="H8" s="37">
        <f>Table_6712[[#This Row],[Total cost USD]]*3.75</f>
        <v/>
      </c>
    </row>
    <row r="9" ht="17.1" customHeight="1">
      <c r="A9" s="197" t="inlineStr">
        <is>
          <t>KSA - Solution Architect / Manager</t>
        </is>
      </c>
      <c r="B9" s="331">
        <f>VLOOKUP(A:A,Positions2024!A:B,2,0)</f>
        <v/>
      </c>
      <c r="C9" s="127" t="n">
        <v>176</v>
      </c>
      <c r="D9" s="332">
        <f>Table_6712[[#This Row],[Hour Rate ($)]]*Table_6712[[#This Row],[Actual Time (MH)]]</f>
        <v/>
      </c>
      <c r="E9" s="333" t="n">
        <v>3</v>
      </c>
      <c r="F9" s="334">
        <f>Table_6712[[#This Row],[Estimated '# of Months]]*Table_6712[[#This Row],[Cost per month]]</f>
        <v/>
      </c>
      <c r="G9" s="310">
        <f>(Table_6712[[#This Row],[Actual Time (MH)]])*Table_6712[[#This Row],[Estimated '# of Months]]/8</f>
        <v/>
      </c>
      <c r="H9" s="37">
        <f>Table_6712[[#This Row],[Total cost USD]]*3.75</f>
        <v/>
      </c>
    </row>
    <row r="10" ht="18" customHeight="1">
      <c r="A10" s="197" t="inlineStr">
        <is>
          <t>KSA - Solution Architect / Manager</t>
        </is>
      </c>
      <c r="B10" s="331">
        <f>VLOOKUP(A:A,Positions2024!A:B,2,0)</f>
        <v/>
      </c>
      <c r="C10" s="127" t="n">
        <v>176</v>
      </c>
      <c r="D10" s="332">
        <f>Table_6712[[#This Row],[Hour Rate ($)]]*Table_6712[[#This Row],[Actual Time (MH)]]</f>
        <v/>
      </c>
      <c r="E10" s="333" t="n">
        <v>3</v>
      </c>
      <c r="F10" s="334">
        <f>Table_6712[[#This Row],[Estimated '# of Months]]*Table_6712[[#This Row],[Cost per month]]</f>
        <v/>
      </c>
      <c r="G10" s="310">
        <f>(Table_6712[[#This Row],[Actual Time (MH)]])*Table_6712[[#This Row],[Estimated '# of Months]]/8</f>
        <v/>
      </c>
      <c r="H10" s="37">
        <f>Table_6712[[#This Row],[Total cost USD]]*3.75</f>
        <v/>
      </c>
    </row>
    <row r="11" ht="17.1" customHeight="1">
      <c r="A11" s="197" t="inlineStr">
        <is>
          <t>KSA - Solution Architect / Manager</t>
        </is>
      </c>
      <c r="B11" s="331">
        <f>VLOOKUP(A:A,Positions2024!A:B,2,0)</f>
        <v/>
      </c>
      <c r="C11" s="127" t="n">
        <v>176</v>
      </c>
      <c r="D11" s="332">
        <f>Table_6712[[#This Row],[Hour Rate ($)]]*Table_6712[[#This Row],[Actual Time (MH)]]</f>
        <v/>
      </c>
      <c r="E11" s="333" t="n">
        <v>3</v>
      </c>
      <c r="F11" s="334">
        <f>Table_6712[[#This Row],[Estimated '# of Months]]*Table_6712[[#This Row],[Cost per month]]</f>
        <v/>
      </c>
      <c r="G11" s="310">
        <f>(Table_6712[[#This Row],[Actual Time (MH)]])*Table_6712[[#This Row],[Estimated '# of Months]]/8</f>
        <v/>
      </c>
      <c r="H11" s="37">
        <f>Table_6712[[#This Row],[Total cost USD]]*3.75</f>
        <v/>
      </c>
    </row>
    <row r="12" ht="17.1" customHeight="1">
      <c r="A12" s="197" t="inlineStr">
        <is>
          <t>KSA - Solution Architect / Manager</t>
        </is>
      </c>
      <c r="B12" s="331">
        <f>VLOOKUP(A:A,Positions2024!A:B,2,0)</f>
        <v/>
      </c>
      <c r="C12" s="127" t="n">
        <v>176</v>
      </c>
      <c r="D12" s="332">
        <f>Table_6712[[#This Row],[Hour Rate ($)]]*Table_6712[[#This Row],[Actual Time (MH)]]</f>
        <v/>
      </c>
      <c r="E12" s="333" t="n">
        <v>12</v>
      </c>
      <c r="F12" s="334">
        <f>Table_6712[[#This Row],[Estimated '# of Months]]*Table_6712[[#This Row],[Cost per month]]</f>
        <v/>
      </c>
      <c r="G12" s="310">
        <f>(Table_6712[[#This Row],[Actual Time (MH)]])*Table_6712[[#This Row],[Estimated '# of Months]]/8</f>
        <v/>
      </c>
      <c r="H12" s="37">
        <f>Table_6712[[#This Row],[Total cost USD]]*3.75</f>
        <v/>
      </c>
    </row>
    <row r="13" ht="17.1" customHeight="1">
      <c r="A13" s="197" t="inlineStr">
        <is>
          <t>KSA- Sr Business Analyst</t>
        </is>
      </c>
      <c r="B13" s="331">
        <f>VLOOKUP(A:A,Positions2024!A:B,2,0)</f>
        <v/>
      </c>
      <c r="C13" s="127" t="n">
        <v>176</v>
      </c>
      <c r="D13" s="332">
        <f>Table_6712[[#This Row],[Hour Rate ($)]]*Table_6712[[#This Row],[Actual Time (MH)]]</f>
        <v/>
      </c>
      <c r="E13" s="333" t="n">
        <v>12</v>
      </c>
      <c r="F13" s="334">
        <f>Table_6712[[#This Row],[Estimated '# of Months]]*Table_6712[[#This Row],[Cost per month]]</f>
        <v/>
      </c>
      <c r="G13" s="310">
        <f>(Table_6712[[#This Row],[Actual Time (MH)]])*Table_6712[[#This Row],[Estimated '# of Months]]/8</f>
        <v/>
      </c>
      <c r="H13" s="37">
        <f>Table_6712[[#This Row],[Total cost USD]]*3.75</f>
        <v/>
      </c>
    </row>
    <row r="14" ht="17.1" customHeight="1">
      <c r="A14" s="197" t="inlineStr">
        <is>
          <t>KSA- Sr Business Analyst</t>
        </is>
      </c>
      <c r="B14" s="331">
        <f>VLOOKUP(A:A,Positions2024!A:B,2,0)</f>
        <v/>
      </c>
      <c r="C14" s="127" t="n">
        <v>176</v>
      </c>
      <c r="D14" s="332">
        <f>Table_6712[[#This Row],[Hour Rate ($)]]*Table_6712[[#This Row],[Actual Time (MH)]]</f>
        <v/>
      </c>
      <c r="E14" s="333" t="n">
        <v>12</v>
      </c>
      <c r="F14" s="334">
        <f>Table_6712[[#This Row],[Estimated '# of Months]]*Table_6712[[#This Row],[Cost per month]]</f>
        <v/>
      </c>
      <c r="G14" s="310">
        <f>(Table_6712[[#This Row],[Actual Time (MH)]])*Table_6712[[#This Row],[Estimated '# of Months]]/8</f>
        <v/>
      </c>
      <c r="H14" s="37">
        <f>Table_6712[[#This Row],[Total cost USD]]*3.75</f>
        <v/>
      </c>
    </row>
    <row r="15" ht="17.1" customHeight="1">
      <c r="A15" s="197" t="inlineStr">
        <is>
          <t>KSA - Business Analyst</t>
        </is>
      </c>
      <c r="B15" s="331">
        <f>VLOOKUP(A:A,Positions2024!A:B,2,0)</f>
        <v/>
      </c>
      <c r="C15" s="127" t="n">
        <v>176</v>
      </c>
      <c r="D15" s="332">
        <f>Table_6712[[#This Row],[Hour Rate ($)]]*Table_6712[[#This Row],[Actual Time (MH)]]</f>
        <v/>
      </c>
      <c r="E15" s="333" t="n">
        <v>12</v>
      </c>
      <c r="F15" s="334">
        <f>Table_6712[[#This Row],[Estimated '# of Months]]*Table_6712[[#This Row],[Cost per month]]</f>
        <v/>
      </c>
      <c r="G15" s="310">
        <f>(Table_6712[[#This Row],[Actual Time (MH)]])*Table_6712[[#This Row],[Estimated '# of Months]]/8</f>
        <v/>
      </c>
      <c r="H15" s="37">
        <f>Table_6712[[#This Row],[Total cost USD]]*3.75</f>
        <v/>
      </c>
    </row>
    <row r="16" ht="17.1" customHeight="1">
      <c r="A16" s="197" t="inlineStr">
        <is>
          <t>KSA - Business Analyst</t>
        </is>
      </c>
      <c r="B16" s="331">
        <f>VLOOKUP(A:A,Positions2024!A:B,2,0)</f>
        <v/>
      </c>
      <c r="C16" s="127" t="n">
        <v>176</v>
      </c>
      <c r="D16" s="332">
        <f>Table_6712[[#This Row],[Hour Rate ($)]]*Table_6712[[#This Row],[Actual Time (MH)]]</f>
        <v/>
      </c>
      <c r="E16" s="333" t="n">
        <v>12</v>
      </c>
      <c r="F16" s="334">
        <f>Table_6712[[#This Row],[Estimated '# of Months]]*Table_6712[[#This Row],[Cost per month]]</f>
        <v/>
      </c>
      <c r="G16" s="310">
        <f>(Table_6712[[#This Row],[Actual Time (MH)]])*Table_6712[[#This Row],[Estimated '# of Months]]/8</f>
        <v/>
      </c>
      <c r="H16" s="37">
        <f>Table_6712[[#This Row],[Total cost USD]]*3.75</f>
        <v/>
      </c>
    </row>
    <row r="17" ht="18" customHeight="1">
      <c r="B17" s="313" t="n"/>
      <c r="C17" s="73" t="n"/>
      <c r="D17" s="323" t="n"/>
      <c r="E17" s="323" t="n"/>
      <c r="F17" s="335">
        <f>SUM(Table_6712[Total cost USD])</f>
        <v/>
      </c>
      <c r="G17" s="335">
        <f>SUBTOTAL(109,Table_6712[Total No of MDs])</f>
        <v/>
      </c>
    </row>
    <row r="18" ht="14.45" customHeight="1">
      <c r="A18" s="276" t="n"/>
      <c r="B18" s="313" t="n"/>
      <c r="C18" s="73" t="n"/>
    </row>
    <row r="19" ht="14.45" customHeight="1">
      <c r="A19" s="324" t="n"/>
      <c r="C19" s="119" t="inlineStr">
        <is>
          <t>TOTAL USD per month (22 days)</t>
        </is>
      </c>
      <c r="D19" s="336">
        <f>SUM(D7:D16)</f>
        <v/>
      </c>
      <c r="E19" s="336" t="n"/>
    </row>
    <row r="20" ht="14.45" customHeight="1">
      <c r="B20" s="2" t="n"/>
      <c r="C20" s="117" t="inlineStr">
        <is>
          <t>TOTAL Estimated Cost per month (22 days) SAR</t>
        </is>
      </c>
      <c r="D20" s="337">
        <f>D19*3.75</f>
        <v/>
      </c>
      <c r="E20" s="338" t="n"/>
    </row>
    <row r="21" ht="15" customHeight="1">
      <c r="C21" s="123" t="inlineStr">
        <is>
          <t>Estimated MDs / Month</t>
        </is>
      </c>
      <c r="D21" s="125">
        <f>SUM(C7:C16)/8</f>
        <v/>
      </c>
      <c r="E21" s="339" t="n"/>
    </row>
    <row r="22" ht="15" customHeight="1">
      <c r="C22" s="117" t="inlineStr">
        <is>
          <t>TOTAL Estimated Cost per MD SAR</t>
        </is>
      </c>
      <c r="D22" s="337">
        <f>D20/D21</f>
        <v/>
      </c>
      <c r="E22" s="338" t="n"/>
      <c r="G22" s="316">
        <f>700*Table_6712[[#Totals],[Total No of MDs]]</f>
        <v/>
      </c>
    </row>
    <row r="23" ht="15" customHeight="1">
      <c r="C23" s="115" t="inlineStr">
        <is>
          <t>Total project estimated Cost (SAR)</t>
        </is>
      </c>
      <c r="D23" s="340">
        <f>Table_6712[[#Totals],[Total cost USD]]*3.75</f>
        <v/>
      </c>
      <c r="E23" s="340" t="n"/>
      <c r="G23" s="37">
        <f>G22*3.75</f>
        <v/>
      </c>
    </row>
    <row r="37" ht="14.1" customHeight="1"/>
    <row r="38" ht="14.1" customHeight="1"/>
    <row r="41" ht="14.1" customHeight="1"/>
    <row r="42" ht="14.1" customHeight="1"/>
    <row r="43" ht="14.1" customHeight="1"/>
  </sheetData>
  <mergeCells count="2">
    <mergeCell ref="A5:D5"/>
    <mergeCell ref="A18:A19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:H15"/>
  <sheetViews>
    <sheetView showGridLines="0" topLeftCell="A3" zoomScale="77" zoomScaleNormal="80" workbookViewId="0">
      <selection activeCell="I9" sqref="I9"/>
    </sheetView>
  </sheetViews>
  <sheetFormatPr baseColWidth="8" defaultColWidth="9.375" defaultRowHeight="15" customHeight="1"/>
  <cols>
    <col width="32" customWidth="1" min="1" max="1"/>
    <col width="20.375" customWidth="1" min="2" max="2"/>
    <col width="40.375" bestFit="1" customWidth="1" style="36" min="3" max="3"/>
    <col width="19" customWidth="1" min="4" max="5"/>
    <col width="14.375" bestFit="1" customWidth="1" min="6" max="6"/>
    <col width="14.375" customWidth="1" min="8" max="8"/>
    <col width="18.375" customWidth="1" min="9" max="9"/>
    <col width="14" customWidth="1" min="10" max="10"/>
  </cols>
  <sheetData>
    <row r="1" ht="14.1" customHeight="1"/>
    <row r="2" ht="14.1" customHeight="1"/>
    <row r="3" ht="14.1" customHeight="1"/>
    <row r="4" ht="14.1" customHeight="1"/>
    <row r="5" ht="18" customHeight="1">
      <c r="A5" s="275" t="n"/>
      <c r="E5" s="275" t="n"/>
      <c r="F5" s="130" t="n"/>
      <c r="G5" s="130" t="n"/>
    </row>
    <row r="6" ht="34.5" customHeight="1" thickBot="1">
      <c r="A6" s="22" t="inlineStr">
        <is>
          <t>Position</t>
        </is>
      </c>
      <c r="B6" s="126" t="inlineStr">
        <is>
          <t>Hour Rate ($)</t>
        </is>
      </c>
      <c r="C6" s="38" t="inlineStr">
        <is>
          <t>Actual Time (MH)</t>
        </is>
      </c>
      <c r="D6" s="22" t="inlineStr">
        <is>
          <t>Cost per month</t>
        </is>
      </c>
      <c r="E6" s="38" t="inlineStr">
        <is>
          <t>Estimated # of Months</t>
        </is>
      </c>
      <c r="F6" s="38" t="inlineStr">
        <is>
          <t>Total cost USD</t>
        </is>
      </c>
      <c r="G6" s="38" t="inlineStr">
        <is>
          <t>Total No of MDs</t>
        </is>
      </c>
      <c r="H6" t="inlineStr">
        <is>
          <t>Column1</t>
        </is>
      </c>
    </row>
    <row r="7" ht="18" customHeight="1" thickBot="1" thickTop="1">
      <c r="A7" s="197" t="inlineStr">
        <is>
          <t>KSA - Technical Support</t>
        </is>
      </c>
      <c r="B7" s="331">
        <f>VLOOKUP(A:A,Positions2024!A:B,2,0)</f>
        <v/>
      </c>
      <c r="C7" s="127" t="n">
        <v>176</v>
      </c>
      <c r="D7" s="332">
        <f>Table_67122[[#This Row],[Hour Rate ($)]]*Table_67122[[#This Row],[Actual Time (MH)]]</f>
        <v/>
      </c>
      <c r="E7" s="333" t="n">
        <v>12</v>
      </c>
      <c r="F7" s="312">
        <f>Table_67122[[#This Row],[Estimated '# of Months]]*Table_67122[[#This Row],[Cost per month]]</f>
        <v/>
      </c>
      <c r="G7" s="310">
        <f>(Table_67122[[#This Row],[Actual Time (MH)]])*Table_67122[[#This Row],[Estimated '# of Months]]/8</f>
        <v/>
      </c>
      <c r="H7" s="37">
        <f>Table_67122[[#This Row],[Total cost USD]]*3.75</f>
        <v/>
      </c>
    </row>
    <row r="8" ht="17.45" customHeight="1" thickTop="1">
      <c r="A8" s="197" t="inlineStr">
        <is>
          <t>KSA - Sr. Technical Support</t>
        </is>
      </c>
      <c r="B8" s="331">
        <f>VLOOKUP(A:A,Positions2024!A:B,2,0)</f>
        <v/>
      </c>
      <c r="C8" s="127" t="n">
        <v>176</v>
      </c>
      <c r="D8" s="332">
        <f>Table_67122[[#This Row],[Hour Rate ($)]]*Table_67122[[#This Row],[Actual Time (MH)]]</f>
        <v/>
      </c>
      <c r="E8" s="333" t="n">
        <v>12</v>
      </c>
      <c r="F8" s="312">
        <f>Table_67122[[#This Row],[Estimated '# of Months]]*Table_67122[[#This Row],[Cost per month]]</f>
        <v/>
      </c>
      <c r="G8" s="310">
        <f>(Table_67122[[#This Row],[Actual Time (MH)]])*Table_67122[[#This Row],[Estimated '# of Months]]/8</f>
        <v/>
      </c>
      <c r="H8" s="37">
        <f>Table_67122[[#This Row],[Total cost USD]]*3.75</f>
        <v/>
      </c>
    </row>
    <row r="9" ht="18" customHeight="1">
      <c r="B9" s="313" t="n"/>
      <c r="C9" s="73" t="n"/>
      <c r="D9" s="323" t="n"/>
      <c r="E9" s="323" t="n"/>
      <c r="F9" s="335">
        <f>SUM(Table_67122[Total cost USD])</f>
        <v/>
      </c>
      <c r="G9" s="335">
        <f>SUBTOTAL(109,Table_67122[Total No of MDs])</f>
        <v/>
      </c>
    </row>
    <row r="10" ht="14.45" customHeight="1">
      <c r="A10" s="276" t="n"/>
      <c r="B10" s="313" t="n"/>
      <c r="C10" s="73" t="n"/>
    </row>
    <row r="11" ht="15" customHeight="1">
      <c r="A11" s="324" t="n"/>
      <c r="C11" s="119" t="inlineStr">
        <is>
          <t>TOTAL USD per month (22 days)</t>
        </is>
      </c>
      <c r="D11" s="341">
        <f>SUM(D7:D8)</f>
        <v/>
      </c>
      <c r="E11" s="336" t="n"/>
    </row>
    <row r="12" ht="15" customHeight="1">
      <c r="B12" s="2" t="n"/>
      <c r="C12" s="117" t="inlineStr">
        <is>
          <t>TOTAL Estimated Cost per month (22 days) SAR</t>
        </is>
      </c>
      <c r="D12" s="337">
        <f>D11*3.75</f>
        <v/>
      </c>
      <c r="E12" s="338" t="n"/>
    </row>
    <row r="13" ht="14.45" customHeight="1">
      <c r="C13" s="123" t="inlineStr">
        <is>
          <t>Estimated MDs / Month</t>
        </is>
      </c>
      <c r="D13" s="125">
        <f>(SUM(Table_67122[Actual Time (MH)]))/8</f>
        <v/>
      </c>
      <c r="E13" s="339" t="n"/>
    </row>
    <row r="14" ht="14.45" customHeight="1">
      <c r="C14" s="117" t="inlineStr">
        <is>
          <t>TOTAL Estimated Cost per MD SAR</t>
        </is>
      </c>
      <c r="D14" s="337">
        <f>D12/D13</f>
        <v/>
      </c>
      <c r="E14" s="338" t="n"/>
    </row>
    <row r="15" ht="14.1" customHeight="1">
      <c r="C15" s="115" t="inlineStr">
        <is>
          <t>Total project estimated Cost (SAR)</t>
        </is>
      </c>
      <c r="D15" s="340">
        <f>Table_67122[[#Totals],[Total cost USD]]*3.75</f>
        <v/>
      </c>
      <c r="E15" s="340" t="n"/>
    </row>
  </sheetData>
  <mergeCells count="2">
    <mergeCell ref="A10:A11"/>
    <mergeCell ref="A5:D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opLeftCell="A17" workbookViewId="0">
      <selection activeCell="J30" sqref="J30"/>
    </sheetView>
  </sheetViews>
  <sheetFormatPr baseColWidth="8" defaultRowHeight="14.1"/>
  <sheetData/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8" workbookViewId="0">
      <selection activeCell="F27" sqref="F27"/>
    </sheetView>
  </sheetViews>
  <sheetFormatPr baseColWidth="8" defaultColWidth="14.375" defaultRowHeight="14.1"/>
  <cols>
    <col width="34.375" customWidth="1" min="1" max="1"/>
    <col width="14.375" customWidth="1" min="2" max="2"/>
    <col width="12.375" customWidth="1" min="3" max="3"/>
    <col width="8.375" customWidth="1" min="4" max="5"/>
  </cols>
  <sheetData>
    <row r="1" ht="18.6" customHeight="1">
      <c r="A1" s="77" t="inlineStr">
        <is>
          <t>Position</t>
        </is>
      </c>
      <c r="B1" s="77" t="inlineStr">
        <is>
          <t>Hour Rate</t>
        </is>
      </c>
      <c r="C1" s="77" t="inlineStr">
        <is>
          <t>MD Rate</t>
        </is>
      </c>
      <c r="F1" s="59" t="inlineStr">
        <is>
          <t>Tunis Rates</t>
        </is>
      </c>
    </row>
    <row r="2" ht="14.45" customHeight="1">
      <c r="A2" s="78" t="inlineStr">
        <is>
          <t>KSA - Technical Support</t>
        </is>
      </c>
      <c r="B2" s="342">
        <f>C2/8</f>
        <v/>
      </c>
      <c r="C2" s="80" t="inlineStr">
        <is>
          <t>450</t>
        </is>
      </c>
      <c r="F2" s="59" t="inlineStr">
        <is>
          <t>Name</t>
        </is>
      </c>
      <c r="G2" t="inlineStr">
        <is>
          <t>Hour Rate</t>
        </is>
      </c>
    </row>
    <row r="3" ht="14.45" customHeight="1">
      <c r="A3" s="81" t="inlineStr">
        <is>
          <t>KSA - Sr. Technical Support</t>
        </is>
      </c>
      <c r="B3" s="343">
        <f>C3/8</f>
        <v/>
      </c>
      <c r="C3" s="83" t="inlineStr">
        <is>
          <t>633</t>
        </is>
      </c>
      <c r="F3" s="78" t="inlineStr">
        <is>
          <t xml:space="preserve">Tarek GUIZANI </t>
        </is>
      </c>
      <c r="G3" s="344" t="n">
        <v>21.3</v>
      </c>
      <c r="H3" s="80" t="n"/>
    </row>
    <row r="4" ht="14.45" customHeight="1">
      <c r="A4" s="78" t="inlineStr">
        <is>
          <t>KSA - Software Engineer</t>
        </is>
      </c>
      <c r="B4" s="342">
        <f>C4/8</f>
        <v/>
      </c>
      <c r="C4" s="80" t="inlineStr">
        <is>
          <t>450</t>
        </is>
      </c>
      <c r="F4" s="81" t="inlineStr">
        <is>
          <t xml:space="preserve">SOUHAIL HAJRI </t>
        </is>
      </c>
      <c r="G4" s="345" t="n">
        <v>21.3</v>
      </c>
      <c r="H4" s="83" t="n"/>
    </row>
    <row r="5" ht="14.45" customHeight="1">
      <c r="A5" s="81" t="inlineStr">
        <is>
          <t>KSA - Sr. Software Engineer</t>
        </is>
      </c>
      <c r="B5" s="343">
        <f>C5/8</f>
        <v/>
      </c>
      <c r="C5" s="83" t="inlineStr">
        <is>
          <t>633</t>
        </is>
      </c>
      <c r="F5" s="78" t="inlineStr">
        <is>
          <t>Houda BOUZAZI</t>
        </is>
      </c>
      <c r="G5" s="344" t="n">
        <v>14.7</v>
      </c>
      <c r="H5" s="80" t="n"/>
    </row>
    <row r="6" ht="14.45" customHeight="1">
      <c r="A6" s="78" t="inlineStr">
        <is>
          <t>KSA - Lead Software Engineer</t>
        </is>
      </c>
      <c r="B6" s="342">
        <f>C6/8</f>
        <v/>
      </c>
      <c r="C6" s="80" t="inlineStr">
        <is>
          <t>696</t>
        </is>
      </c>
      <c r="F6" s="81" t="inlineStr">
        <is>
          <t>Marwen Reguigui</t>
        </is>
      </c>
      <c r="G6" s="345" t="n">
        <v>31</v>
      </c>
      <c r="H6" s="83" t="n"/>
    </row>
    <row r="7" ht="14.45" customHeight="1">
      <c r="A7" s="81" t="inlineStr">
        <is>
          <t>KSA - Business Analyst</t>
        </is>
      </c>
      <c r="B7" s="343">
        <f>C7/8</f>
        <v/>
      </c>
      <c r="C7" s="83" t="inlineStr">
        <is>
          <t>450</t>
        </is>
      </c>
      <c r="F7" s="78" t="inlineStr">
        <is>
          <t>Emna ZOUAOUI</t>
        </is>
      </c>
      <c r="G7" s="344" t="n">
        <v>13.3</v>
      </c>
      <c r="H7" s="80" t="n"/>
    </row>
    <row r="8" ht="14.45" customHeight="1">
      <c r="A8" s="78" t="inlineStr">
        <is>
          <t>KSA- Sr Business Analyst</t>
        </is>
      </c>
      <c r="B8" s="342">
        <f>C8/8</f>
        <v/>
      </c>
      <c r="C8" s="80" t="inlineStr">
        <is>
          <t>633</t>
        </is>
      </c>
      <c r="F8" s="81" t="inlineStr">
        <is>
          <t>Safouene ZID</t>
        </is>
      </c>
      <c r="G8" s="345" t="n">
        <v>25.8</v>
      </c>
      <c r="H8" s="83" t="n"/>
    </row>
    <row r="9" ht="14.45" customHeight="1">
      <c r="A9" s="81" t="inlineStr">
        <is>
          <t>KSA - Lead Business Analyst</t>
        </is>
      </c>
      <c r="B9" s="343">
        <f>C9/8</f>
        <v/>
      </c>
      <c r="C9" s="83" t="inlineStr">
        <is>
          <t>696</t>
        </is>
      </c>
      <c r="F9" s="78" t="inlineStr">
        <is>
          <t>Khoubaieb GHAOUARI</t>
        </is>
      </c>
      <c r="G9" s="344" t="n">
        <v>19.3</v>
      </c>
      <c r="H9" s="80" t="n"/>
    </row>
    <row r="10" ht="14.45" customHeight="1">
      <c r="A10" s="78" t="inlineStr">
        <is>
          <t>KSA - Solution Architect / Manager</t>
        </is>
      </c>
      <c r="B10" s="342">
        <f>C10/8</f>
        <v/>
      </c>
      <c r="C10" s="83" t="inlineStr">
        <is>
          <t>898</t>
        </is>
      </c>
      <c r="F10" s="81" t="inlineStr">
        <is>
          <t>Rafeh ZEKRI</t>
        </is>
      </c>
      <c r="G10" s="345" t="n">
        <v>12.8</v>
      </c>
      <c r="H10" s="83" t="n"/>
    </row>
    <row r="11" ht="14.45" customHeight="1">
      <c r="A11" s="81" t="inlineStr">
        <is>
          <t>KSA - Project Manager</t>
        </is>
      </c>
      <c r="B11" s="343">
        <f>C11/8</f>
        <v/>
      </c>
      <c r="C11" s="83" t="inlineStr">
        <is>
          <t>898</t>
        </is>
      </c>
      <c r="F11" s="78" t="inlineStr">
        <is>
          <t>Samia ACHOURI</t>
        </is>
      </c>
      <c r="G11" s="344" t="n">
        <v>25.8</v>
      </c>
      <c r="H11" s="80" t="n"/>
    </row>
    <row r="12" ht="14.45" customHeight="1">
      <c r="A12" s="78" t="inlineStr">
        <is>
          <t>EGY - Software Engineer</t>
        </is>
      </c>
      <c r="B12" s="342">
        <f>C12/8</f>
        <v/>
      </c>
      <c r="C12" s="80" t="inlineStr">
        <is>
          <t>223</t>
        </is>
      </c>
      <c r="F12" s="81" t="inlineStr">
        <is>
          <t>Achraf SALMI</t>
        </is>
      </c>
      <c r="G12" s="345" t="n">
        <v>19.3</v>
      </c>
      <c r="H12" s="83" t="n"/>
    </row>
    <row r="13" ht="14.45" customHeight="1">
      <c r="A13" s="81" t="inlineStr">
        <is>
          <t>EGY - Sr. Software Engineer</t>
        </is>
      </c>
      <c r="B13" s="343">
        <f>C13/8</f>
        <v/>
      </c>
      <c r="C13" s="83" t="inlineStr">
        <is>
          <t>253</t>
        </is>
      </c>
      <c r="F13" s="78" t="inlineStr">
        <is>
          <t>Zein el Abidin TRABELSI</t>
        </is>
      </c>
      <c r="G13" s="344" t="n">
        <v>25.8</v>
      </c>
      <c r="H13" s="80" t="n"/>
    </row>
    <row r="14" ht="14.45" customHeight="1">
      <c r="A14" s="78" t="inlineStr">
        <is>
          <t>EGY - Lead Software Engineer</t>
        </is>
      </c>
      <c r="B14" s="342">
        <f>C14/8</f>
        <v/>
      </c>
      <c r="C14" s="80" t="inlineStr">
        <is>
          <t>277</t>
        </is>
      </c>
      <c r="F14" s="81" t="inlineStr">
        <is>
          <t>Arafet ZOUARI</t>
        </is>
      </c>
      <c r="G14" s="345" t="n">
        <v>16</v>
      </c>
      <c r="H14" s="83" t="n"/>
    </row>
    <row r="15" ht="14.45" customHeight="1">
      <c r="A15" s="81" t="inlineStr">
        <is>
          <t>EGY - Business Analyst</t>
        </is>
      </c>
      <c r="B15" s="343">
        <f>C15/8</f>
        <v/>
      </c>
      <c r="C15" s="83" t="inlineStr">
        <is>
          <t>223</t>
        </is>
      </c>
      <c r="F15" s="78" t="inlineStr">
        <is>
          <t>Sarra OUNISSI</t>
        </is>
      </c>
      <c r="G15" s="344" t="n">
        <v>13.3</v>
      </c>
      <c r="H15" s="80" t="n"/>
    </row>
    <row r="16" ht="14.45" customHeight="1">
      <c r="A16" s="78" t="inlineStr">
        <is>
          <t>EGY - Sr Business Analyst</t>
        </is>
      </c>
      <c r="B16" s="342">
        <f>C16/8</f>
        <v/>
      </c>
      <c r="C16" s="80" t="inlineStr">
        <is>
          <t>235</t>
        </is>
      </c>
      <c r="F16" s="81" t="inlineStr">
        <is>
          <t>Aicha CHATTI</t>
        </is>
      </c>
      <c r="G16" s="345" t="n">
        <v>25.8</v>
      </c>
      <c r="H16" s="83" t="n"/>
    </row>
    <row r="17" ht="14.45" customHeight="1">
      <c r="A17" s="81" t="inlineStr">
        <is>
          <t>EGY - Lead Business Analyst</t>
        </is>
      </c>
      <c r="B17" s="343">
        <f>C17/8</f>
        <v/>
      </c>
      <c r="C17" s="83" t="inlineStr">
        <is>
          <t>277</t>
        </is>
      </c>
      <c r="F17" s="78" t="inlineStr">
        <is>
          <t>Abir HAMMAMI</t>
        </is>
      </c>
      <c r="G17" s="344" t="n">
        <v>19.3</v>
      </c>
      <c r="H17" s="80" t="n"/>
    </row>
    <row r="18" ht="14.45" customHeight="1">
      <c r="A18" s="78" t="inlineStr">
        <is>
          <t>EGY - Project Manager</t>
        </is>
      </c>
      <c r="B18" s="342">
        <f>C18/8</f>
        <v/>
      </c>
      <c r="C18" s="80" t="inlineStr">
        <is>
          <t>301</t>
        </is>
      </c>
      <c r="F18" s="81" t="inlineStr">
        <is>
          <t>Naiim BSILI</t>
        </is>
      </c>
      <c r="G18" s="345" t="n">
        <v>21.3</v>
      </c>
      <c r="H18" s="83" t="n"/>
    </row>
    <row r="19" ht="14.45" customHeight="1">
      <c r="A19" s="81" t="inlineStr">
        <is>
          <t>EGY - Quality Engineer</t>
        </is>
      </c>
      <c r="B19" s="343">
        <f>C19/8</f>
        <v/>
      </c>
      <c r="C19" s="83" t="inlineStr">
        <is>
          <t>223</t>
        </is>
      </c>
      <c r="F19" s="78" t="inlineStr">
        <is>
          <t>IKbel BOUZRATI</t>
        </is>
      </c>
      <c r="G19" s="344" t="n">
        <v>31</v>
      </c>
      <c r="H19" s="80" t="n"/>
    </row>
    <row r="20" ht="14.45" customHeight="1">
      <c r="A20" s="78" t="inlineStr">
        <is>
          <t>EGY - Sr Quality Engineer</t>
        </is>
      </c>
      <c r="B20" s="342">
        <f>C20/8</f>
        <v/>
      </c>
      <c r="C20" s="80" t="inlineStr">
        <is>
          <t>253</t>
        </is>
      </c>
      <c r="F20" s="81" t="inlineStr">
        <is>
          <t>Iheb MAATALI RIAHI</t>
        </is>
      </c>
      <c r="G20" s="345" t="n">
        <v>26.5</v>
      </c>
      <c r="H20" s="83" t="n"/>
    </row>
    <row r="21" ht="15.75" customHeight="1">
      <c r="A21" s="81" t="inlineStr">
        <is>
          <t>EGY - Lead Quality Engineer</t>
        </is>
      </c>
      <c r="B21" s="343">
        <f>C21/8</f>
        <v/>
      </c>
      <c r="C21" s="83" t="inlineStr">
        <is>
          <t>277</t>
        </is>
      </c>
    </row>
    <row r="22" ht="15.75" customHeight="1">
      <c r="A22" s="78" t="inlineStr">
        <is>
          <t>EGY - UX Designer</t>
        </is>
      </c>
      <c r="B22" s="342">
        <f>C22/8</f>
        <v/>
      </c>
      <c r="C22" s="80" t="inlineStr">
        <is>
          <t>223</t>
        </is>
      </c>
    </row>
    <row r="23" ht="15.75" customHeight="1">
      <c r="A23" s="81" t="inlineStr">
        <is>
          <t>EGY - Sr UX Designer</t>
        </is>
      </c>
      <c r="B23" s="343">
        <f>C23/8</f>
        <v/>
      </c>
      <c r="C23" s="83" t="inlineStr">
        <is>
          <t>253</t>
        </is>
      </c>
    </row>
    <row r="24" ht="15.75" customHeight="1">
      <c r="A24" s="78" t="inlineStr">
        <is>
          <t>EGY - Lead UX Designer</t>
        </is>
      </c>
      <c r="B24" s="342">
        <f>C24/8</f>
        <v/>
      </c>
      <c r="C24" s="80" t="inlineStr">
        <is>
          <t>277</t>
        </is>
      </c>
    </row>
    <row r="25" ht="15.75" customHeight="1">
      <c r="A25" s="81" t="inlineStr">
        <is>
          <t>EGY - Software Engineer - onsite</t>
        </is>
      </c>
      <c r="B25" s="346" t="n">
        <v>45.215</v>
      </c>
      <c r="C25" s="83">
        <f>B25*8</f>
        <v/>
      </c>
    </row>
    <row r="26" ht="15.75" customHeight="1">
      <c r="A26" s="81" t="inlineStr">
        <is>
          <t>EGY - Sr. Software Engineer - onsite</t>
        </is>
      </c>
      <c r="B26" s="346" t="n">
        <v>51.63125</v>
      </c>
      <c r="C26" s="83">
        <f>B26*8</f>
        <v/>
      </c>
    </row>
    <row r="27" ht="15.75" customHeight="1">
      <c r="A27" s="81" t="inlineStr">
        <is>
          <t>EGY - Lead Software Engineer - onsite</t>
        </is>
      </c>
      <c r="B27" s="346" t="n">
        <v>58.29875</v>
      </c>
      <c r="C27" s="83">
        <f>B27*8</f>
        <v/>
      </c>
    </row>
    <row r="28" ht="15.75" customHeight="1">
      <c r="A28" s="81" t="inlineStr">
        <is>
          <t>EGY - Business Analyst - onsite</t>
        </is>
      </c>
      <c r="B28" s="346" t="n">
        <v>45.215</v>
      </c>
      <c r="C28" s="83">
        <f>B28*8</f>
        <v/>
      </c>
    </row>
    <row r="29" ht="15.75" customHeight="1">
      <c r="A29" s="81" t="inlineStr">
        <is>
          <t>EGY - Sr Business Analyst - onsite</t>
        </is>
      </c>
      <c r="B29" s="346" t="n">
        <v>51.63125</v>
      </c>
      <c r="C29" s="83">
        <f>B29*8</f>
        <v/>
      </c>
    </row>
    <row r="30" ht="15.75" customHeight="1">
      <c r="A30" s="81" t="inlineStr">
        <is>
          <t>EGY - Lead Business Analyst - onsite</t>
        </is>
      </c>
      <c r="B30" s="346" t="n">
        <v>58.29875</v>
      </c>
      <c r="C30" s="83">
        <f>B30*8</f>
        <v/>
      </c>
    </row>
    <row r="31" ht="15.75" customHeight="1">
      <c r="A31" s="81" t="inlineStr">
        <is>
          <t>EGY - Project Manager - onsite</t>
        </is>
      </c>
      <c r="B31" s="346" t="n">
        <v>63.13125</v>
      </c>
      <c r="C31" s="83">
        <f>B31*8</f>
        <v/>
      </c>
    </row>
    <row r="32" ht="15.75" customHeight="1">
      <c r="A32" s="81" t="inlineStr">
        <is>
          <t>EGY - Quality Engineer - onsite</t>
        </is>
      </c>
      <c r="B32" s="346" t="n">
        <v>45.215</v>
      </c>
      <c r="C32" s="83">
        <f>B32*8</f>
        <v/>
      </c>
    </row>
    <row r="33" ht="15.75" customHeight="1">
      <c r="A33" s="81" t="inlineStr">
        <is>
          <t>EGY - Sr Quality Engineer - onsite</t>
        </is>
      </c>
      <c r="B33" s="346" t="n">
        <v>51.63125</v>
      </c>
      <c r="C33" s="83">
        <f>B33*8</f>
        <v/>
      </c>
    </row>
    <row r="34" ht="15.75" customHeight="1">
      <c r="A34" s="81" t="inlineStr">
        <is>
          <t>EGY - Lead Quality Engineer - onsite</t>
        </is>
      </c>
      <c r="B34" s="346" t="n">
        <v>58.29875</v>
      </c>
      <c r="C34" s="83">
        <f>B34*8</f>
        <v/>
      </c>
    </row>
    <row r="35" ht="15.75" customHeight="1">
      <c r="A35" s="81" t="inlineStr">
        <is>
          <t>EGY - UX Designer - onsite</t>
        </is>
      </c>
      <c r="B35" s="346" t="n">
        <v>45.215</v>
      </c>
      <c r="C35" s="83">
        <f>B35*8</f>
        <v/>
      </c>
    </row>
    <row r="36" ht="15.75" customHeight="1">
      <c r="A36" s="81" t="inlineStr">
        <is>
          <t>EGY - Sr UX Designer - onsite</t>
        </is>
      </c>
      <c r="B36" s="346" t="n">
        <v>51.63125</v>
      </c>
      <c r="C36" s="83">
        <f>B36*8</f>
        <v/>
      </c>
    </row>
    <row r="37" ht="15.75" customHeight="1">
      <c r="A37" s="81" t="inlineStr">
        <is>
          <t>EGY - Lead UX Designer - onsite</t>
        </is>
      </c>
      <c r="B37" s="347" t="n">
        <v>58.29875</v>
      </c>
      <c r="C37" s="83">
        <f>B37*8</f>
        <v/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B10" sqref="B10"/>
    </sheetView>
  </sheetViews>
  <sheetFormatPr baseColWidth="8" defaultColWidth="14.375" defaultRowHeight="14.1"/>
  <cols>
    <col width="30.375" customWidth="1" min="1" max="1"/>
    <col width="14.375" customWidth="1" min="2" max="2"/>
    <col width="12.375" customWidth="1" min="3" max="3"/>
    <col width="8.375" customWidth="1" min="4" max="6"/>
  </cols>
  <sheetData>
    <row r="1" ht="18.6" customHeight="1">
      <c r="A1" s="67" t="inlineStr">
        <is>
          <t>Position</t>
        </is>
      </c>
      <c r="B1" s="67" t="inlineStr">
        <is>
          <t>Hour Rate</t>
        </is>
      </c>
      <c r="C1" s="67" t="inlineStr">
        <is>
          <t>MD Rate</t>
        </is>
      </c>
    </row>
    <row r="2" ht="14.45" customHeight="1">
      <c r="A2" s="68" t="inlineStr">
        <is>
          <t>KSA - Technical Support</t>
        </is>
      </c>
      <c r="B2" s="348" t="n">
        <v>56</v>
      </c>
      <c r="C2" s="349" t="n">
        <v>450</v>
      </c>
    </row>
    <row r="3" ht="14.45" customHeight="1">
      <c r="A3" s="68" t="inlineStr">
        <is>
          <t>KSA - Sr. Technical Support</t>
        </is>
      </c>
      <c r="B3" s="348" t="n">
        <v>79</v>
      </c>
      <c r="C3" s="349" t="n">
        <v>633</v>
      </c>
    </row>
    <row r="4" ht="14.45" customHeight="1">
      <c r="A4" s="68" t="inlineStr">
        <is>
          <t>KSA - Software Engineer</t>
        </is>
      </c>
      <c r="B4" s="348" t="n">
        <v>56</v>
      </c>
      <c r="C4" s="349" t="n">
        <v>450</v>
      </c>
    </row>
    <row r="5" ht="14.45" customHeight="1">
      <c r="A5" s="68" t="inlineStr">
        <is>
          <t>KSA - Sr. Software Engineer</t>
        </is>
      </c>
      <c r="B5" s="348" t="n">
        <v>79</v>
      </c>
      <c r="C5" s="349" t="n">
        <v>633</v>
      </c>
    </row>
    <row r="6" ht="14.45" customHeight="1">
      <c r="A6" s="68" t="inlineStr">
        <is>
          <t>KSA - Lead Software Engineer</t>
        </is>
      </c>
      <c r="B6" s="348" t="n">
        <v>87</v>
      </c>
      <c r="C6" s="349" t="n">
        <v>696</v>
      </c>
    </row>
    <row r="7" ht="14.45" customHeight="1">
      <c r="A7" s="68" t="inlineStr">
        <is>
          <t>KSA - Business Analyst</t>
        </is>
      </c>
      <c r="B7" s="348" t="n">
        <v>56</v>
      </c>
      <c r="C7" s="349" t="n">
        <v>450</v>
      </c>
    </row>
    <row r="8" ht="14.45" customHeight="1">
      <c r="A8" s="68" t="inlineStr">
        <is>
          <t>KSA- Sr Business Analyst</t>
        </is>
      </c>
      <c r="B8" s="348" t="n">
        <v>79</v>
      </c>
      <c r="C8" s="349" t="n">
        <v>633</v>
      </c>
    </row>
    <row r="9" ht="14.45" customHeight="1">
      <c r="A9" s="68" t="inlineStr">
        <is>
          <t>KSA - Lead Business Analyst</t>
        </is>
      </c>
      <c r="B9" s="348" t="n">
        <v>87</v>
      </c>
      <c r="C9" s="349" t="n">
        <v>696</v>
      </c>
    </row>
    <row r="10" ht="15.75" customHeight="1">
      <c r="A10" s="2" t="inlineStr">
        <is>
          <t>KSA - Solution Architect / Manager</t>
        </is>
      </c>
      <c r="B10" s="348" t="n">
        <v>112</v>
      </c>
      <c r="C10" s="349" t="n">
        <v>898</v>
      </c>
    </row>
    <row r="11" ht="15.75" customHeight="1">
      <c r="A11" s="2" t="inlineStr">
        <is>
          <t>KSA - Project Manager</t>
        </is>
      </c>
      <c r="B11" s="348" t="n">
        <v>112</v>
      </c>
      <c r="C11" s="349" t="n">
        <v>898</v>
      </c>
    </row>
    <row r="12" ht="15.75" customHeight="1">
      <c r="A12" s="2" t="inlineStr">
        <is>
          <t>EGY - Software Engineer</t>
        </is>
      </c>
      <c r="B12" s="350" t="n">
        <v>28</v>
      </c>
      <c r="C12" s="349" t="n">
        <v>223</v>
      </c>
    </row>
    <row r="13" ht="15.75" customHeight="1">
      <c r="A13" s="2" t="inlineStr">
        <is>
          <t>EGY - Sr. Software Engineer</t>
        </is>
      </c>
      <c r="B13" s="348" t="n">
        <v>32</v>
      </c>
      <c r="C13" s="349" t="n">
        <v>253</v>
      </c>
    </row>
    <row r="14" ht="15.75" customHeight="1">
      <c r="A14" s="2" t="inlineStr">
        <is>
          <t>EGY - Lead Software Engineer</t>
        </is>
      </c>
      <c r="B14" s="348" t="n">
        <v>35</v>
      </c>
      <c r="C14" s="349" t="n">
        <v>277</v>
      </c>
    </row>
    <row r="15" ht="15.75" customHeight="1">
      <c r="A15" s="2" t="inlineStr">
        <is>
          <t>EGY - Business Analyst</t>
        </is>
      </c>
      <c r="B15" s="348" t="n">
        <v>28</v>
      </c>
      <c r="C15" s="349" t="n">
        <v>223</v>
      </c>
    </row>
    <row r="16" ht="15.75" customHeight="1">
      <c r="A16" s="2" t="inlineStr">
        <is>
          <t>EGY - Sr Business Analyst</t>
        </is>
      </c>
      <c r="B16" s="348" t="n">
        <v>29</v>
      </c>
      <c r="C16" s="349" t="n">
        <v>235</v>
      </c>
    </row>
    <row r="17" ht="15.75" customHeight="1">
      <c r="A17" s="2" t="inlineStr">
        <is>
          <t>EGY - Lead Business Analyst</t>
        </is>
      </c>
      <c r="B17" s="348" t="n">
        <v>35</v>
      </c>
      <c r="C17" s="349" t="n">
        <v>277</v>
      </c>
    </row>
    <row r="18" ht="15.75" customHeight="1">
      <c r="A18" s="2" t="inlineStr">
        <is>
          <t>EGY - Project Manager</t>
        </is>
      </c>
      <c r="B18" s="348" t="n">
        <v>38</v>
      </c>
      <c r="C18" s="349" t="n">
        <v>301</v>
      </c>
    </row>
    <row r="19" ht="15.75" customHeight="1">
      <c r="A19" s="2" t="inlineStr">
        <is>
          <t>EGY - Quality Engineer</t>
        </is>
      </c>
      <c r="B19" s="348" t="n">
        <v>28</v>
      </c>
      <c r="C19" s="349" t="n">
        <v>223</v>
      </c>
    </row>
    <row r="20" ht="15.75" customHeight="1">
      <c r="A20" s="2" t="inlineStr">
        <is>
          <t>EGY - Sr Quality Engineer</t>
        </is>
      </c>
      <c r="B20" s="348" t="n">
        <v>32</v>
      </c>
      <c r="C20" s="349" t="n">
        <v>253</v>
      </c>
    </row>
    <row r="21" ht="15.75" customHeight="1">
      <c r="A21" s="2" t="inlineStr">
        <is>
          <t>EGY - Lead Quality Engineer</t>
        </is>
      </c>
      <c r="B21" s="348" t="n">
        <v>35</v>
      </c>
      <c r="C21" s="349" t="n">
        <v>277</v>
      </c>
    </row>
    <row r="22" ht="15.75" customHeight="1">
      <c r="A22" s="2" t="inlineStr">
        <is>
          <t>EGY - UX Designer</t>
        </is>
      </c>
      <c r="B22" s="348" t="n">
        <v>28</v>
      </c>
      <c r="C22" s="349" t="n">
        <v>223</v>
      </c>
    </row>
    <row r="23" ht="15.75" customHeight="1">
      <c r="A23" s="2" t="inlineStr">
        <is>
          <t>EGY - Sr UX Designer</t>
        </is>
      </c>
      <c r="B23" s="348" t="n">
        <v>32</v>
      </c>
      <c r="C23" s="349" t="n">
        <v>253</v>
      </c>
    </row>
    <row r="24" ht="15.75" customHeight="1">
      <c r="A24" s="2" t="inlineStr">
        <is>
          <t>EGY - Lead UX Designer</t>
        </is>
      </c>
      <c r="B24" s="348" t="n">
        <v>35</v>
      </c>
      <c r="C24" s="349" t="n">
        <v>277</v>
      </c>
    </row>
    <row r="25" ht="15.75" customHeight="1">
      <c r="A25" t="inlineStr">
        <is>
          <t>EGY - Software Engineer - onsite</t>
        </is>
      </c>
      <c r="B25" t="n">
        <v>45</v>
      </c>
      <c r="C25" t="n">
        <v>361.72</v>
      </c>
    </row>
    <row r="26" ht="15.75" customHeight="1">
      <c r="A26" t="inlineStr">
        <is>
          <t>EGY - Sr. Software Engineer - onsite</t>
        </is>
      </c>
      <c r="B26" t="n">
        <v>52</v>
      </c>
      <c r="C26" t="n">
        <v>413.05</v>
      </c>
    </row>
    <row r="27" ht="15.75" customHeight="1">
      <c r="A27" t="inlineStr">
        <is>
          <t>EGY - Lead Software Engineer - onsite</t>
        </is>
      </c>
      <c r="B27" t="n">
        <v>58</v>
      </c>
      <c r="C27" t="n">
        <v>466.39</v>
      </c>
    </row>
    <row r="28" ht="15.75" customHeight="1">
      <c r="A28" t="inlineStr">
        <is>
          <t>EGY - Business Analyst - onsite</t>
        </is>
      </c>
      <c r="B28" t="n">
        <v>45</v>
      </c>
      <c r="C28" t="n">
        <v>361.72</v>
      </c>
    </row>
    <row r="29" ht="15.75" customHeight="1">
      <c r="A29" t="inlineStr">
        <is>
          <t>EGY - Sr Business Analyst - onsite</t>
        </is>
      </c>
      <c r="B29" t="n">
        <v>52</v>
      </c>
      <c r="C29" t="n">
        <v>413.05</v>
      </c>
    </row>
    <row r="30" ht="15.75" customHeight="1">
      <c r="A30" t="inlineStr">
        <is>
          <t>EGY - Lead Business Analyst - onsite</t>
        </is>
      </c>
      <c r="B30" t="n">
        <v>58</v>
      </c>
      <c r="C30" t="n">
        <v>466.39</v>
      </c>
    </row>
    <row r="31" ht="15.75" customHeight="1">
      <c r="A31" t="inlineStr">
        <is>
          <t>EGY - Project Manager - onsite</t>
        </is>
      </c>
      <c r="B31" t="n">
        <v>63</v>
      </c>
      <c r="C31" t="n">
        <v>505.05</v>
      </c>
    </row>
    <row r="32" ht="15.75" customHeight="1">
      <c r="A32" t="inlineStr">
        <is>
          <t>EGY - Quality Engineer - onsite</t>
        </is>
      </c>
      <c r="B32" t="n">
        <v>45</v>
      </c>
      <c r="C32" t="n">
        <v>361.72</v>
      </c>
    </row>
    <row r="33" ht="15.75" customHeight="1">
      <c r="A33" t="inlineStr">
        <is>
          <t>EGY - Sr Quality Engineer - onsite</t>
        </is>
      </c>
      <c r="B33" t="n">
        <v>52</v>
      </c>
      <c r="C33" t="n">
        <v>413.05</v>
      </c>
    </row>
    <row r="34" ht="15.75" customHeight="1">
      <c r="A34" t="inlineStr">
        <is>
          <t>EGY - Lead Quality Engineer - onsite</t>
        </is>
      </c>
      <c r="B34" t="n">
        <v>58</v>
      </c>
      <c r="C34" t="n">
        <v>466.39</v>
      </c>
    </row>
    <row r="35" ht="15.75" customHeight="1">
      <c r="A35" t="inlineStr">
        <is>
          <t>EGY - UX Designer - onsite</t>
        </is>
      </c>
      <c r="B35" t="n">
        <v>45</v>
      </c>
      <c r="C35" t="n">
        <v>361.72</v>
      </c>
    </row>
    <row r="36" ht="15.75" customHeight="1">
      <c r="A36" t="inlineStr">
        <is>
          <t>EGY - Sr UX Designer - onsite</t>
        </is>
      </c>
      <c r="B36" t="n">
        <v>52</v>
      </c>
      <c r="C36" t="n">
        <v>413.05</v>
      </c>
    </row>
    <row r="37" ht="15.75" customHeight="1">
      <c r="A37" t="inlineStr">
        <is>
          <t>EGY - Lead UX Designer - onsite</t>
        </is>
      </c>
      <c r="B37" t="n">
        <v>58</v>
      </c>
      <c r="C37" t="n">
        <v>466.39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4:C4"/>
  <sheetViews>
    <sheetView workbookViewId="0">
      <selection activeCell="B5" sqref="B5"/>
    </sheetView>
  </sheetViews>
  <sheetFormatPr baseColWidth="8" defaultRowHeight="14.1"/>
  <cols>
    <col width="19.375" customWidth="1" min="2" max="2"/>
    <col width="13.375" bestFit="1" customWidth="1" min="3" max="4"/>
    <col width="34.375" customWidth="1" min="8" max="8"/>
    <col width="13.375" bestFit="1" customWidth="1" min="9" max="9"/>
  </cols>
  <sheetData>
    <row r="4">
      <c r="B4" t="inlineStr">
        <is>
          <t>USD to SAR rate</t>
        </is>
      </c>
      <c r="C4" t="n">
        <v>3.75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A16" workbookViewId="0">
      <selection activeCell="A30" sqref="A30"/>
    </sheetView>
  </sheetViews>
  <sheetFormatPr baseColWidth="8" defaultColWidth="14.375" defaultRowHeight="14.1"/>
  <cols>
    <col width="34.375" customWidth="1" min="1" max="1"/>
    <col width="14.375" customWidth="1" min="2" max="2"/>
    <col width="12.375" customWidth="1" min="3" max="3"/>
    <col width="8.375" customWidth="1" min="4" max="5"/>
  </cols>
  <sheetData>
    <row r="1" ht="18.6" customHeight="1">
      <c r="A1" s="77" t="inlineStr">
        <is>
          <t>Position</t>
        </is>
      </c>
      <c r="B1" s="77" t="inlineStr">
        <is>
          <t>Hour Rate</t>
        </is>
      </c>
      <c r="C1" s="77" t="inlineStr">
        <is>
          <t>MD Rate</t>
        </is>
      </c>
      <c r="F1" s="59" t="inlineStr">
        <is>
          <t>Tunis Rates</t>
        </is>
      </c>
    </row>
    <row r="2" ht="14.45" customHeight="1">
      <c r="A2" s="78" t="inlineStr">
        <is>
          <t>KSA - Technical Support</t>
        </is>
      </c>
      <c r="B2" s="342">
        <f>C2/8</f>
        <v/>
      </c>
      <c r="C2" s="80" t="inlineStr">
        <is>
          <t>450</t>
        </is>
      </c>
      <c r="F2" s="59" t="inlineStr">
        <is>
          <t>Name</t>
        </is>
      </c>
      <c r="G2" t="inlineStr">
        <is>
          <t>Hour Rate</t>
        </is>
      </c>
    </row>
    <row r="3" ht="14.45" customHeight="1">
      <c r="A3" s="81" t="inlineStr">
        <is>
          <t>KSA - Sr. Technical Support</t>
        </is>
      </c>
      <c r="B3" s="343">
        <f>C3/8</f>
        <v/>
      </c>
      <c r="C3" s="83" t="inlineStr">
        <is>
          <t>633</t>
        </is>
      </c>
      <c r="F3" s="78" t="inlineStr">
        <is>
          <t xml:space="preserve">Tarek GUIZANI </t>
        </is>
      </c>
      <c r="G3" s="344" t="n">
        <v>21.3</v>
      </c>
      <c r="H3" s="80" t="n"/>
    </row>
    <row r="4" ht="14.45" customHeight="1">
      <c r="A4" s="78" t="inlineStr">
        <is>
          <t>KSA - Software Engineer</t>
        </is>
      </c>
      <c r="B4" s="342">
        <f>C4/8</f>
        <v/>
      </c>
      <c r="C4" s="80" t="inlineStr">
        <is>
          <t>450</t>
        </is>
      </c>
      <c r="F4" s="81" t="inlineStr">
        <is>
          <t xml:space="preserve">SOUHAIL HAJRI </t>
        </is>
      </c>
      <c r="G4" s="345" t="n">
        <v>21.3</v>
      </c>
      <c r="H4" s="83" t="n"/>
    </row>
    <row r="5" ht="14.45" customHeight="1">
      <c r="A5" s="81" t="inlineStr">
        <is>
          <t>KSA - Sr. Software Engineer</t>
        </is>
      </c>
      <c r="B5" s="343">
        <f>C5/8</f>
        <v/>
      </c>
      <c r="C5" s="83" t="inlineStr">
        <is>
          <t>633</t>
        </is>
      </c>
      <c r="F5" s="78" t="inlineStr">
        <is>
          <t>Houda BOUZAZI</t>
        </is>
      </c>
      <c r="G5" s="344" t="n">
        <v>14.7</v>
      </c>
      <c r="H5" s="80" t="n"/>
    </row>
    <row r="6" ht="14.45" customHeight="1">
      <c r="A6" s="78" t="inlineStr">
        <is>
          <t>KSA - Lead Software Engineer</t>
        </is>
      </c>
      <c r="B6" s="342">
        <f>C6/8</f>
        <v/>
      </c>
      <c r="C6" s="80" t="inlineStr">
        <is>
          <t>696</t>
        </is>
      </c>
      <c r="F6" s="81" t="inlineStr">
        <is>
          <t>Marwen Reguigui</t>
        </is>
      </c>
      <c r="G6" s="345" t="n">
        <v>31</v>
      </c>
      <c r="H6" s="83" t="n"/>
    </row>
    <row r="7" ht="14.45" customHeight="1">
      <c r="A7" s="81" t="inlineStr">
        <is>
          <t>KSA - Business Analyst</t>
        </is>
      </c>
      <c r="B7" s="343">
        <f>C7/8</f>
        <v/>
      </c>
      <c r="C7" s="83" t="inlineStr">
        <is>
          <t>450</t>
        </is>
      </c>
      <c r="F7" s="78" t="inlineStr">
        <is>
          <t>Emna ZOUAOUI</t>
        </is>
      </c>
      <c r="G7" s="344" t="n">
        <v>13.3</v>
      </c>
      <c r="H7" s="80" t="n"/>
    </row>
    <row r="8" ht="14.45" customHeight="1">
      <c r="A8" s="78" t="inlineStr">
        <is>
          <t>KSA- Sr Business Analyst</t>
        </is>
      </c>
      <c r="B8" s="342">
        <f>C8/8</f>
        <v/>
      </c>
      <c r="C8" s="80" t="inlineStr">
        <is>
          <t>633</t>
        </is>
      </c>
      <c r="F8" s="81" t="inlineStr">
        <is>
          <t>Safouene ZID</t>
        </is>
      </c>
      <c r="G8" s="345" t="n">
        <v>25.8</v>
      </c>
      <c r="H8" s="83" t="n"/>
    </row>
    <row r="9" ht="14.45" customHeight="1">
      <c r="A9" s="81" t="inlineStr">
        <is>
          <t>KSA - Lead Business Analyst</t>
        </is>
      </c>
      <c r="B9" s="343">
        <f>C9/8</f>
        <v/>
      </c>
      <c r="C9" s="83" t="inlineStr">
        <is>
          <t>696</t>
        </is>
      </c>
      <c r="F9" s="78" t="inlineStr">
        <is>
          <t>Khoubaieb GHAOUARI</t>
        </is>
      </c>
      <c r="G9" s="344" t="n">
        <v>19.3</v>
      </c>
      <c r="H9" s="80" t="n"/>
    </row>
    <row r="10" ht="14.45" customHeight="1">
      <c r="A10" s="78" t="inlineStr">
        <is>
          <t>KSA - Solution Architect / Manager</t>
        </is>
      </c>
      <c r="B10" s="342">
        <f>C10/8</f>
        <v/>
      </c>
      <c r="C10" s="83" t="inlineStr">
        <is>
          <t>898</t>
        </is>
      </c>
      <c r="F10" s="81" t="inlineStr">
        <is>
          <t>Rafeh ZEKRI</t>
        </is>
      </c>
      <c r="G10" s="345" t="n">
        <v>12.8</v>
      </c>
      <c r="H10" s="83" t="n"/>
    </row>
    <row r="11" ht="14.45" customHeight="1">
      <c r="A11" s="81" t="inlineStr">
        <is>
          <t>KSA - Project Manager</t>
        </is>
      </c>
      <c r="B11" s="343">
        <f>C11/8</f>
        <v/>
      </c>
      <c r="C11" s="83" t="inlineStr">
        <is>
          <t>898</t>
        </is>
      </c>
      <c r="F11" s="78" t="inlineStr">
        <is>
          <t>Samia ACHOURI</t>
        </is>
      </c>
      <c r="G11" s="344" t="n">
        <v>25.8</v>
      </c>
      <c r="H11" s="80" t="n"/>
    </row>
    <row r="12" ht="14.45" customHeight="1">
      <c r="A12" s="78" t="inlineStr">
        <is>
          <t>EGY - Software Engineer</t>
        </is>
      </c>
      <c r="B12" s="342">
        <f>C12/8</f>
        <v/>
      </c>
      <c r="C12" s="80" t="inlineStr">
        <is>
          <t>223</t>
        </is>
      </c>
      <c r="F12" s="81" t="inlineStr">
        <is>
          <t>Achraf SALMI</t>
        </is>
      </c>
      <c r="G12" s="345" t="n">
        <v>19.3</v>
      </c>
      <c r="H12" s="83" t="n"/>
    </row>
    <row r="13" ht="14.45" customHeight="1">
      <c r="A13" s="81" t="inlineStr">
        <is>
          <t>EGY - Sr. Software Engineer</t>
        </is>
      </c>
      <c r="B13" s="343">
        <f>C13/8</f>
        <v/>
      </c>
      <c r="C13" s="83" t="inlineStr">
        <is>
          <t>253</t>
        </is>
      </c>
      <c r="F13" s="78" t="inlineStr">
        <is>
          <t>Zein el Abidin TRABELSI</t>
        </is>
      </c>
      <c r="G13" s="344" t="n">
        <v>25.8</v>
      </c>
      <c r="H13" s="80" t="n"/>
    </row>
    <row r="14" ht="14.45" customHeight="1">
      <c r="A14" s="78" t="inlineStr">
        <is>
          <t>EGY - Lead Software Engineer</t>
        </is>
      </c>
      <c r="B14" s="342">
        <f>C14/8</f>
        <v/>
      </c>
      <c r="C14" s="80" t="inlineStr">
        <is>
          <t>277</t>
        </is>
      </c>
      <c r="F14" s="81" t="inlineStr">
        <is>
          <t>Arafet ZOUARI</t>
        </is>
      </c>
      <c r="G14" s="345" t="n">
        <v>16</v>
      </c>
      <c r="H14" s="83" t="n"/>
    </row>
    <row r="15" ht="14.45" customHeight="1">
      <c r="A15" s="81" t="inlineStr">
        <is>
          <t>EGY - Business Analyst</t>
        </is>
      </c>
      <c r="B15" s="343">
        <f>C15/8</f>
        <v/>
      </c>
      <c r="C15" s="83" t="inlineStr">
        <is>
          <t>223</t>
        </is>
      </c>
      <c r="F15" s="78" t="inlineStr">
        <is>
          <t>Sarra OUNISSI</t>
        </is>
      </c>
      <c r="G15" s="344" t="n">
        <v>13.3</v>
      </c>
      <c r="H15" s="80" t="n"/>
    </row>
    <row r="16" ht="14.45" customHeight="1">
      <c r="A16" s="78" t="inlineStr">
        <is>
          <t>EGY - Sr Business Analyst</t>
        </is>
      </c>
      <c r="B16" s="342">
        <f>C16/8</f>
        <v/>
      </c>
      <c r="C16" s="80" t="inlineStr">
        <is>
          <t>235</t>
        </is>
      </c>
      <c r="F16" s="81" t="inlineStr">
        <is>
          <t>Aicha CHATTI</t>
        </is>
      </c>
      <c r="G16" s="345" t="n">
        <v>25.8</v>
      </c>
      <c r="H16" s="83" t="n"/>
    </row>
    <row r="17" ht="14.45" customHeight="1">
      <c r="A17" s="81" t="inlineStr">
        <is>
          <t>EGY - Lead Business Analyst</t>
        </is>
      </c>
      <c r="B17" s="343">
        <f>C17/8</f>
        <v/>
      </c>
      <c r="C17" s="83" t="inlineStr">
        <is>
          <t>277</t>
        </is>
      </c>
      <c r="F17" s="78" t="inlineStr">
        <is>
          <t>Abir HAMMAMI</t>
        </is>
      </c>
      <c r="G17" s="344" t="n">
        <v>19.3</v>
      </c>
      <c r="H17" s="80" t="n"/>
    </row>
    <row r="18" ht="14.45" customHeight="1">
      <c r="A18" s="78" t="inlineStr">
        <is>
          <t>EGY - Project Manager</t>
        </is>
      </c>
      <c r="B18" s="342">
        <f>C18/8</f>
        <v/>
      </c>
      <c r="C18" s="80" t="inlineStr">
        <is>
          <t>301</t>
        </is>
      </c>
      <c r="F18" s="81" t="inlineStr">
        <is>
          <t>Naiim BSILI</t>
        </is>
      </c>
      <c r="G18" s="345" t="n">
        <v>21.3</v>
      </c>
      <c r="H18" s="83" t="n"/>
    </row>
    <row r="19" ht="14.45" customHeight="1">
      <c r="A19" s="81" t="inlineStr">
        <is>
          <t>EGY - Quality Engineer</t>
        </is>
      </c>
      <c r="B19" s="343">
        <f>C19/8</f>
        <v/>
      </c>
      <c r="C19" s="83" t="inlineStr">
        <is>
          <t>223</t>
        </is>
      </c>
      <c r="F19" s="78" t="inlineStr">
        <is>
          <t>IKbel BOUZRATI</t>
        </is>
      </c>
      <c r="G19" s="344" t="n">
        <v>31</v>
      </c>
      <c r="H19" s="80" t="n"/>
    </row>
    <row r="20" ht="14.45" customHeight="1">
      <c r="A20" s="78" t="inlineStr">
        <is>
          <t>EGY - Sr Quality Engineer</t>
        </is>
      </c>
      <c r="B20" s="342">
        <f>C20/8</f>
        <v/>
      </c>
      <c r="C20" s="80" t="inlineStr">
        <is>
          <t>253</t>
        </is>
      </c>
      <c r="F20" s="81" t="inlineStr">
        <is>
          <t>Iheb MAATALI RIAHI</t>
        </is>
      </c>
      <c r="G20" s="345" t="n">
        <v>26.5</v>
      </c>
      <c r="H20" s="83" t="n"/>
    </row>
    <row r="21" ht="15.75" customHeight="1">
      <c r="A21" s="81" t="inlineStr">
        <is>
          <t>EGY - Lead Quality Engineer</t>
        </is>
      </c>
      <c r="B21" s="343">
        <f>C21/8</f>
        <v/>
      </c>
      <c r="C21" s="83" t="inlineStr">
        <is>
          <t>277</t>
        </is>
      </c>
    </row>
    <row r="22" ht="15.75" customHeight="1">
      <c r="A22" s="78" t="inlineStr">
        <is>
          <t>EGY - UX Designer</t>
        </is>
      </c>
      <c r="B22" s="342">
        <f>C22/8</f>
        <v/>
      </c>
      <c r="C22" s="80" t="inlineStr">
        <is>
          <t>223</t>
        </is>
      </c>
    </row>
    <row r="23" ht="15.75" customHeight="1">
      <c r="A23" s="81" t="inlineStr">
        <is>
          <t>EGY - Sr UX Designer</t>
        </is>
      </c>
      <c r="B23" s="343">
        <f>C23/8</f>
        <v/>
      </c>
      <c r="C23" s="83" t="inlineStr">
        <is>
          <t>253</t>
        </is>
      </c>
    </row>
    <row r="24" ht="15.75" customHeight="1">
      <c r="A24" s="78" t="inlineStr">
        <is>
          <t>EGY - Lead UX Designer</t>
        </is>
      </c>
      <c r="B24" s="342">
        <f>C24/8</f>
        <v/>
      </c>
      <c r="C24" s="80" t="inlineStr">
        <is>
          <t>277</t>
        </is>
      </c>
    </row>
    <row r="25" ht="15.75" customHeight="1">
      <c r="A25" s="81" t="inlineStr">
        <is>
          <t>EGY - Software Engineer - onsite</t>
        </is>
      </c>
      <c r="B25" s="346" t="n">
        <v>45.215</v>
      </c>
      <c r="C25" s="83">
        <f>B25*8</f>
        <v/>
      </c>
    </row>
    <row r="26" ht="15.75" customHeight="1">
      <c r="A26" s="81" t="inlineStr">
        <is>
          <t>EGY - Sr. Software Engineer - onsite</t>
        </is>
      </c>
      <c r="B26" s="346" t="n">
        <v>51.63125</v>
      </c>
      <c r="C26" s="83">
        <f>B26*8</f>
        <v/>
      </c>
    </row>
    <row r="27" ht="15.75" customHeight="1">
      <c r="A27" s="81" t="inlineStr">
        <is>
          <t>EGY - Lead Software Engineer - onsite</t>
        </is>
      </c>
      <c r="B27" s="346" t="n">
        <v>58.29875</v>
      </c>
      <c r="C27" s="83">
        <f>B27*8</f>
        <v/>
      </c>
    </row>
    <row r="28" ht="15.75" customHeight="1">
      <c r="A28" s="81" t="inlineStr">
        <is>
          <t>EGY - Business Analyst - onsite</t>
        </is>
      </c>
      <c r="B28" s="346" t="n">
        <v>45.215</v>
      </c>
      <c r="C28" s="83">
        <f>B28*8</f>
        <v/>
      </c>
    </row>
    <row r="29" ht="15.75" customHeight="1">
      <c r="A29" s="81" t="inlineStr">
        <is>
          <t>EGY - Sr Business Analyst - onsite</t>
        </is>
      </c>
      <c r="B29" s="346" t="n">
        <v>51.63125</v>
      </c>
      <c r="C29" s="83">
        <f>B29*8</f>
        <v/>
      </c>
    </row>
    <row r="30" ht="15.75" customHeight="1">
      <c r="A30" s="81" t="inlineStr">
        <is>
          <t>EGY - Lead Business Analyst - onsite</t>
        </is>
      </c>
      <c r="B30" s="346" t="n">
        <v>58.29875</v>
      </c>
      <c r="C30" s="83">
        <f>B30*8</f>
        <v/>
      </c>
    </row>
    <row r="31" ht="15.75" customHeight="1">
      <c r="A31" s="81" t="inlineStr">
        <is>
          <t>EGY - Project Manager - onsite</t>
        </is>
      </c>
      <c r="B31" s="346" t="n">
        <v>63.13125</v>
      </c>
      <c r="C31" s="83">
        <f>B31*8</f>
        <v/>
      </c>
    </row>
    <row r="32" ht="15.75" customHeight="1">
      <c r="A32" s="81" t="inlineStr">
        <is>
          <t>EGY - Quality Engineer - onsite</t>
        </is>
      </c>
      <c r="B32" s="346" t="n">
        <v>45.215</v>
      </c>
      <c r="C32" s="83">
        <f>B32*8</f>
        <v/>
      </c>
    </row>
    <row r="33" ht="15.75" customHeight="1">
      <c r="A33" s="81" t="inlineStr">
        <is>
          <t>EGY - Sr Quality Engineer - onsite</t>
        </is>
      </c>
      <c r="B33" s="346" t="n">
        <v>51.63125</v>
      </c>
      <c r="C33" s="83">
        <f>B33*8</f>
        <v/>
      </c>
    </row>
    <row r="34" ht="15.75" customHeight="1">
      <c r="A34" s="81" t="inlineStr">
        <is>
          <t>EGY - Lead Quality Engineer - onsite</t>
        </is>
      </c>
      <c r="B34" s="346" t="n">
        <v>58.29875</v>
      </c>
      <c r="C34" s="83">
        <f>B34*8</f>
        <v/>
      </c>
    </row>
    <row r="35" ht="15.75" customHeight="1">
      <c r="A35" s="81" t="inlineStr">
        <is>
          <t>EGY - UX Designer - onsite</t>
        </is>
      </c>
      <c r="B35" s="346" t="n">
        <v>45.215</v>
      </c>
      <c r="C35" s="83">
        <f>B35*8</f>
        <v/>
      </c>
    </row>
    <row r="36" ht="15.75" customHeight="1">
      <c r="A36" s="81" t="inlineStr">
        <is>
          <t>EGY - Sr UX Designer - onsite</t>
        </is>
      </c>
      <c r="B36" s="346" t="n">
        <v>51.63125</v>
      </c>
      <c r="C36" s="83">
        <f>B36*8</f>
        <v/>
      </c>
    </row>
    <row r="37" ht="15.75" customHeight="1">
      <c r="A37" s="81" t="inlineStr">
        <is>
          <t>EGY - Lead UX Designer - onsite</t>
        </is>
      </c>
      <c r="B37" s="347" t="n">
        <v>58.29875</v>
      </c>
      <c r="C37" s="83">
        <f>B37*8</f>
        <v/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Hour Rate</t>
        </is>
      </c>
    </row>
    <row r="2">
      <c r="A2" t="inlineStr">
        <is>
          <t>Tarek GUIZANI</t>
        </is>
      </c>
      <c r="B2" t="n">
        <v>21.3</v>
      </c>
    </row>
    <row r="3">
      <c r="A3" t="inlineStr">
        <is>
          <t>SOUHAIL HAJRI</t>
        </is>
      </c>
      <c r="B3" t="n">
        <v>21.3</v>
      </c>
    </row>
    <row r="4">
      <c r="A4" t="inlineStr">
        <is>
          <t>Houda BOUZAZI</t>
        </is>
      </c>
      <c r="B4" t="n">
        <v>14.7</v>
      </c>
    </row>
    <row r="5">
      <c r="A5" t="inlineStr">
        <is>
          <t>Marwen Reguigui</t>
        </is>
      </c>
      <c r="B5" t="n">
        <v>31</v>
      </c>
    </row>
    <row r="6">
      <c r="A6" t="inlineStr">
        <is>
          <t>Emna ZOUAOUI</t>
        </is>
      </c>
      <c r="B6" t="n">
        <v>13.3</v>
      </c>
    </row>
    <row r="7">
      <c r="A7" t="inlineStr">
        <is>
          <t>Safouene ZID</t>
        </is>
      </c>
      <c r="B7" t="n">
        <v>25.8</v>
      </c>
    </row>
    <row r="8">
      <c r="A8" t="inlineStr">
        <is>
          <t>Khoubaieb GHAOUARI</t>
        </is>
      </c>
      <c r="B8" t="n">
        <v>19.3</v>
      </c>
    </row>
    <row r="9">
      <c r="A9" t="inlineStr">
        <is>
          <t>Rafeh ZEKRI</t>
        </is>
      </c>
      <c r="B9" t="n">
        <v>12.8</v>
      </c>
    </row>
    <row r="10">
      <c r="A10" t="inlineStr">
        <is>
          <t>Samia ACHOURI</t>
        </is>
      </c>
      <c r="B10" t="n">
        <v>25.8</v>
      </c>
    </row>
    <row r="11">
      <c r="A11" t="inlineStr">
        <is>
          <t>Achraf SALMI</t>
        </is>
      </c>
      <c r="B11" t="n">
        <v>19.3</v>
      </c>
    </row>
    <row r="12">
      <c r="A12" t="inlineStr">
        <is>
          <t>Zein el Abidin TRABELSI</t>
        </is>
      </c>
      <c r="B12" t="n">
        <v>25.8</v>
      </c>
    </row>
    <row r="13">
      <c r="A13" t="inlineStr">
        <is>
          <t>Arafet ZOUARI</t>
        </is>
      </c>
      <c r="B13" t="n">
        <v>16</v>
      </c>
    </row>
    <row r="14">
      <c r="A14" t="inlineStr">
        <is>
          <t>Sarra OUNISSI</t>
        </is>
      </c>
      <c r="B14" t="n">
        <v>13.3</v>
      </c>
    </row>
    <row r="15">
      <c r="A15" t="inlineStr">
        <is>
          <t>Aicha CHATTI</t>
        </is>
      </c>
      <c r="B15" t="n">
        <v>25.8</v>
      </c>
    </row>
    <row r="16">
      <c r="A16" t="inlineStr">
        <is>
          <t>Abir HAMMAMI</t>
        </is>
      </c>
      <c r="B16" t="n">
        <v>19.3</v>
      </c>
    </row>
    <row r="17">
      <c r="A17" t="inlineStr">
        <is>
          <t>Naiim BSILI</t>
        </is>
      </c>
      <c r="B17" t="n">
        <v>21.3</v>
      </c>
    </row>
    <row r="18">
      <c r="A18" t="inlineStr">
        <is>
          <t>IKbel BOUZRATI</t>
        </is>
      </c>
      <c r="B18" t="n">
        <v>31</v>
      </c>
    </row>
    <row r="19">
      <c r="A19" t="inlineStr">
        <is>
          <t>Iheb MAATALI RIAHI</t>
        </is>
      </c>
      <c r="B1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2020-04-11T12:33:42Z</dcterms:created>
  <dcterms:modified xmlns:dcterms="http://purl.org/dc/terms/" xmlns:xsi="http://www.w3.org/2001/XMLSchema-instance" xsi:type="dcterms:W3CDTF">2026-05-03T08:28:53Z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0x0101008FA155DACD00C041B61F8B3F795C4F4B</vt:lpwstr>
  </property>
  <property name="MediaServiceImageTags" fmtid="{D5CDD505-2E9C-101B-9397-08002B2CF9AE}" pid="3">
    <vt:lpwstr xmlns:vt="http://schemas.openxmlformats.org/officeDocument/2006/docPropsVTypes"/>
  </property>
</Properties>
</file>