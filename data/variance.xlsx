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vnt\Desktop\"/>
    </mc:Choice>
  </mc:AlternateContent>
  <xr:revisionPtr revIDLastSave="0" documentId="8_{C55EDBEF-6B66-40A4-99DA-674624BAC55E}" xr6:coauthVersionLast="47" xr6:coauthVersionMax="47" xr10:uidLastSave="{00000000-0000-0000-0000-000000000000}"/>
  <bookViews>
    <workbookView xWindow="-110" yWindow="-110" windowWidth="19420" windowHeight="10300" tabRatio="725" firstSheet="3" activeTab="6" xr2:uid="{00000000-000D-0000-FFFF-FFFF00000000}"/>
  </bookViews>
  <sheets>
    <sheet name="Budget - Consultation" sheetId="19" r:id="rId1"/>
    <sheet name="Budget - Development" sheetId="32" r:id="rId2"/>
    <sheet name="Budget - Support" sheetId="31" r:id="rId3"/>
    <sheet name="Profitability - Development" sheetId="35" r:id="rId4"/>
    <sheet name="Current Effort - Development" sheetId="34" r:id="rId5"/>
    <sheet name="Current Effort - Consultation" sheetId="26" r:id="rId6"/>
    <sheet name="Profitability - Consultation" sheetId="1" r:id="rId7"/>
    <sheet name="Help" sheetId="21" state="hidden" r:id="rId8"/>
    <sheet name="Estimated Cost (2)" sheetId="28" state="hidden" r:id="rId9"/>
    <sheet name="Estimated Cost - Development" sheetId="33" r:id="rId10"/>
    <sheet name="Estimated Cost - Consultation" sheetId="22" r:id="rId11"/>
    <sheet name="Estimated Cost - Support" sheetId="30" r:id="rId12"/>
    <sheet name="Charts" sheetId="25" state="hidden" r:id="rId13"/>
    <sheet name="Positions2024" sheetId="29" state="hidden" r:id="rId14"/>
    <sheet name="Positions" sheetId="4" state="hidden" r:id="rId15"/>
    <sheet name="data" sheetId="20" state="hidden" r:id="rId16"/>
    <sheet name="Positions2024 " sheetId="36" r:id="rId17"/>
  </sheets>
  <externalReferences>
    <externalReference r:id="rId1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" i="35" l="1"/>
  <c r="W8" i="35"/>
  <c r="V8" i="35"/>
  <c r="T8" i="35"/>
  <c r="R8" i="35"/>
  <c r="Q8" i="35"/>
  <c r="O8" i="35"/>
  <c r="P8" i="35"/>
  <c r="AD18" i="1"/>
  <c r="AD19" i="1"/>
  <c r="AB18" i="1"/>
  <c r="AB19" i="1"/>
  <c r="AA19" i="1"/>
  <c r="Y19" i="1"/>
  <c r="X18" i="1"/>
  <c r="W18" i="1"/>
  <c r="V18" i="1"/>
  <c r="T18" i="1"/>
  <c r="R18" i="1"/>
  <c r="Q18" i="1"/>
  <c r="P18" i="1"/>
  <c r="O18" i="1"/>
  <c r="M18" i="1"/>
  <c r="L18" i="1"/>
  <c r="K18" i="1"/>
  <c r="K19" i="1"/>
  <c r="AN10" i="26"/>
  <c r="AN9" i="26" s="1"/>
  <c r="AN18" i="26"/>
  <c r="AN25" i="26"/>
  <c r="AR12" i="26"/>
  <c r="AR15" i="26"/>
  <c r="AR19" i="26"/>
  <c r="AR20" i="26"/>
  <c r="AR21" i="26"/>
  <c r="AR22" i="26"/>
  <c r="AR23" i="26"/>
  <c r="AR26" i="26"/>
  <c r="AR27" i="26"/>
  <c r="AR29" i="26"/>
  <c r="AR30" i="26"/>
  <c r="AL9" i="26"/>
  <c r="AR25" i="26"/>
  <c r="E25" i="26"/>
  <c r="F25" i="26"/>
  <c r="AR18" i="26"/>
  <c r="E18" i="26"/>
  <c r="E10" i="26"/>
  <c r="F10" i="26"/>
  <c r="D20" i="34"/>
  <c r="L19" i="34"/>
  <c r="I19" i="34"/>
  <c r="F8" i="35" s="1"/>
  <c r="G8" i="35" s="1"/>
  <c r="F9" i="35"/>
  <c r="AO7" i="34"/>
  <c r="AO8" i="34"/>
  <c r="AO9" i="34"/>
  <c r="AO10" i="34"/>
  <c r="AO11" i="34"/>
  <c r="AO12" i="34"/>
  <c r="AO13" i="34"/>
  <c r="AO14" i="34"/>
  <c r="AO15" i="34"/>
  <c r="AO16" i="34"/>
  <c r="AO17" i="34"/>
  <c r="AO18" i="34"/>
  <c r="E7" i="34"/>
  <c r="F7" i="34" s="1"/>
  <c r="E8" i="34"/>
  <c r="F8" i="34" s="1"/>
  <c r="E9" i="34"/>
  <c r="F9" i="34" s="1"/>
  <c r="E10" i="34"/>
  <c r="F10" i="34" s="1"/>
  <c r="E11" i="34"/>
  <c r="F11" i="34" s="1"/>
  <c r="E12" i="34"/>
  <c r="F12" i="34" s="1"/>
  <c r="E13" i="34"/>
  <c r="F13" i="34" s="1"/>
  <c r="E14" i="34"/>
  <c r="F14" i="34" s="1"/>
  <c r="E15" i="34"/>
  <c r="F15" i="34" s="1"/>
  <c r="E16" i="34"/>
  <c r="F16" i="34" s="1"/>
  <c r="E17" i="34"/>
  <c r="F17" i="34" s="1"/>
  <c r="E18" i="34"/>
  <c r="F18" i="34" s="1"/>
  <c r="E6" i="34"/>
  <c r="F6" i="34" s="1"/>
  <c r="M14" i="1"/>
  <c r="M15" i="1"/>
  <c r="M16" i="1"/>
  <c r="M17" i="1"/>
  <c r="M19" i="1"/>
  <c r="AL14" i="26"/>
  <c r="C37" i="36"/>
  <c r="C36" i="36"/>
  <c r="C35" i="36"/>
  <c r="C34" i="36"/>
  <c r="C33" i="36"/>
  <c r="C32" i="36"/>
  <c r="C31" i="36"/>
  <c r="C30" i="36"/>
  <c r="C29" i="36"/>
  <c r="C28" i="36"/>
  <c r="C27" i="36"/>
  <c r="C26" i="36"/>
  <c r="C25" i="36"/>
  <c r="B24" i="36"/>
  <c r="B23" i="36"/>
  <c r="B22" i="36"/>
  <c r="B21" i="36"/>
  <c r="B20" i="36"/>
  <c r="B19" i="36"/>
  <c r="B18" i="36"/>
  <c r="B17" i="36"/>
  <c r="B16" i="36"/>
  <c r="B15" i="36"/>
  <c r="B14" i="36"/>
  <c r="B13" i="36"/>
  <c r="B12" i="36"/>
  <c r="B11" i="36"/>
  <c r="B10" i="36"/>
  <c r="B9" i="36"/>
  <c r="B8" i="36"/>
  <c r="B7" i="36"/>
  <c r="B6" i="36"/>
  <c r="B5" i="36"/>
  <c r="B4" i="36"/>
  <c r="B3" i="36"/>
  <c r="B2" i="36"/>
  <c r="U9" i="35"/>
  <c r="E9" i="35"/>
  <c r="D9" i="35"/>
  <c r="C9" i="35"/>
  <c r="AA9" i="35" s="1"/>
  <c r="AB9" i="35" s="1"/>
  <c r="M9" i="35"/>
  <c r="B7" i="33"/>
  <c r="B8" i="33"/>
  <c r="B9" i="33"/>
  <c r="B10" i="33"/>
  <c r="B11" i="33"/>
  <c r="B12" i="33"/>
  <c r="B13" i="33"/>
  <c r="B14" i="33"/>
  <c r="B15" i="33"/>
  <c r="B16" i="33"/>
  <c r="B17" i="33"/>
  <c r="B18" i="33"/>
  <c r="B19" i="33"/>
  <c r="B20" i="33"/>
  <c r="B21" i="33"/>
  <c r="B22" i="33"/>
  <c r="B23" i="33"/>
  <c r="B24" i="33"/>
  <c r="B25" i="33"/>
  <c r="B26" i="33"/>
  <c r="D7" i="33"/>
  <c r="D8" i="33"/>
  <c r="D9" i="33"/>
  <c r="D10" i="33"/>
  <c r="D11" i="33"/>
  <c r="D12" i="33"/>
  <c r="D13" i="33"/>
  <c r="D14" i="33"/>
  <c r="D15" i="33"/>
  <c r="D16" i="33"/>
  <c r="D17" i="33"/>
  <c r="D18" i="33"/>
  <c r="D19" i="33"/>
  <c r="D20" i="33"/>
  <c r="D21" i="33"/>
  <c r="D22" i="33"/>
  <c r="D23" i="33"/>
  <c r="D24" i="33"/>
  <c r="D25" i="33"/>
  <c r="D26" i="33"/>
  <c r="F7" i="33"/>
  <c r="F8" i="33"/>
  <c r="F9" i="33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G7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23" i="33"/>
  <c r="G24" i="33"/>
  <c r="G25" i="33"/>
  <c r="G26" i="33"/>
  <c r="H7" i="33"/>
  <c r="H8" i="33"/>
  <c r="H9" i="33"/>
  <c r="H10" i="33"/>
  <c r="H11" i="33"/>
  <c r="H12" i="33"/>
  <c r="H13" i="33"/>
  <c r="H14" i="33"/>
  <c r="H15" i="33"/>
  <c r="H16" i="33"/>
  <c r="H17" i="33"/>
  <c r="H18" i="33"/>
  <c r="H19" i="33"/>
  <c r="H20" i="33"/>
  <c r="H21" i="33"/>
  <c r="H22" i="33"/>
  <c r="H23" i="33"/>
  <c r="H24" i="33"/>
  <c r="H25" i="33"/>
  <c r="H26" i="33"/>
  <c r="AK6" i="26"/>
  <c r="E29" i="26"/>
  <c r="F29" i="26"/>
  <c r="E20" i="26"/>
  <c r="F20" i="26"/>
  <c r="E27" i="26"/>
  <c r="F27" i="26"/>
  <c r="E14" i="26"/>
  <c r="AE9" i="26"/>
  <c r="AE28" i="26"/>
  <c r="AE24" i="26"/>
  <c r="AE17" i="26"/>
  <c r="E9" i="26"/>
  <c r="F9" i="26" s="1"/>
  <c r="AQ27" i="26" l="1"/>
  <c r="AQ20" i="26"/>
  <c r="AQ29" i="26"/>
  <c r="AR14" i="26"/>
  <c r="AQ10" i="26"/>
  <c r="AR10" i="26"/>
  <c r="F18" i="26"/>
  <c r="AQ18" i="26"/>
  <c r="AQ25" i="26"/>
  <c r="AN18" i="34"/>
  <c r="AN17" i="34"/>
  <c r="AN16" i="34"/>
  <c r="AN15" i="34"/>
  <c r="AN14" i="34"/>
  <c r="AN13" i="34"/>
  <c r="AN12" i="34"/>
  <c r="AN11" i="34"/>
  <c r="AN10" i="34"/>
  <c r="AN9" i="34"/>
  <c r="AN8" i="34"/>
  <c r="AN7" i="34"/>
  <c r="AM31" i="26"/>
  <c r="F18" i="1" s="1"/>
  <c r="AN6" i="34"/>
  <c r="AC9" i="35"/>
  <c r="AD9" i="35" s="1"/>
  <c r="F14" i="26"/>
  <c r="AQ14" i="26" s="1"/>
  <c r="AO6" i="34"/>
  <c r="AO19" i="34" s="1"/>
  <c r="AJ31" i="26"/>
  <c r="F17" i="1" s="1"/>
  <c r="U19" i="1"/>
  <c r="AG31" i="26"/>
  <c r="AD14" i="1"/>
  <c r="AB8" i="26"/>
  <c r="AB13" i="26"/>
  <c r="AB16" i="26"/>
  <c r="AB28" i="26"/>
  <c r="AE13" i="1"/>
  <c r="M13" i="1"/>
  <c r="AN19" i="34" l="1"/>
  <c r="AP31" i="26"/>
  <c r="AQ9" i="26"/>
  <c r="F19" i="1"/>
  <c r="AR9" i="26"/>
  <c r="AE9" i="35"/>
  <c r="G9" i="35"/>
  <c r="AD31" i="26"/>
  <c r="Y7" i="26"/>
  <c r="Y28" i="26"/>
  <c r="Y24" i="26"/>
  <c r="Y17" i="26"/>
  <c r="E17" i="26"/>
  <c r="Y16" i="26"/>
  <c r="Y13" i="26"/>
  <c r="Y11" i="26"/>
  <c r="E11" i="26"/>
  <c r="F11" i="26" s="1"/>
  <c r="Y8" i="26"/>
  <c r="Y6" i="26"/>
  <c r="Z12" i="1"/>
  <c r="V28" i="26"/>
  <c r="V24" i="26"/>
  <c r="E12" i="26"/>
  <c r="V8" i="26"/>
  <c r="AA12" i="1"/>
  <c r="G23" i="22"/>
  <c r="G22" i="22"/>
  <c r="D21" i="22"/>
  <c r="E19" i="26"/>
  <c r="E22" i="26"/>
  <c r="S13" i="26"/>
  <c r="AR13" i="26" l="1"/>
  <c r="AR8" i="26"/>
  <c r="AR24" i="26"/>
  <c r="AR28" i="26"/>
  <c r="AR6" i="26"/>
  <c r="AQ11" i="26"/>
  <c r="AR11" i="26"/>
  <c r="AR16" i="26"/>
  <c r="AR17" i="26"/>
  <c r="AR7" i="26"/>
  <c r="AF16" i="1"/>
  <c r="AG18" i="1"/>
  <c r="K9" i="35"/>
  <c r="L9" i="35"/>
  <c r="F17" i="26"/>
  <c r="AQ17" i="26" s="1"/>
  <c r="F12" i="26"/>
  <c r="AQ12" i="26" s="1"/>
  <c r="AB13" i="1"/>
  <c r="AC12" i="1"/>
  <c r="AC19" i="1"/>
  <c r="F22" i="26"/>
  <c r="AQ22" i="26" s="1"/>
  <c r="F19" i="26"/>
  <c r="AQ19" i="26" s="1"/>
  <c r="D31" i="33"/>
  <c r="D11" i="32"/>
  <c r="I12" i="32"/>
  <c r="J12" i="32"/>
  <c r="I16" i="32" s="1"/>
  <c r="AG16" i="1" l="1"/>
  <c r="AF18" i="1"/>
  <c r="AE19" i="1"/>
  <c r="AD13" i="1"/>
  <c r="AE12" i="1"/>
  <c r="G27" i="33"/>
  <c r="E12" i="32" s="1"/>
  <c r="E23" i="32" s="1"/>
  <c r="F27" i="33"/>
  <c r="D29" i="33"/>
  <c r="D30" i="33" s="1"/>
  <c r="D32" i="33" s="1"/>
  <c r="E15" i="32" l="1"/>
  <c r="D33" i="33"/>
  <c r="E16" i="32" s="1"/>
  <c r="I15" i="32" l="1"/>
  <c r="I17" i="32" s="1"/>
  <c r="I18" i="32" s="1"/>
  <c r="E18" i="32"/>
  <c r="E19" i="32" s="1"/>
  <c r="E21" i="32"/>
  <c r="E24" i="26" l="1"/>
  <c r="E7" i="26"/>
  <c r="E8" i="26"/>
  <c r="E13" i="26"/>
  <c r="E15" i="26"/>
  <c r="E16" i="26"/>
  <c r="E21" i="26"/>
  <c r="E23" i="26"/>
  <c r="E26" i="26"/>
  <c r="E28" i="26"/>
  <c r="E30" i="26"/>
  <c r="Z9" i="1"/>
  <c r="Z10" i="1"/>
  <c r="Z11" i="1"/>
  <c r="Z8" i="1"/>
  <c r="C11" i="1"/>
  <c r="AA11" i="1" s="1"/>
  <c r="C9" i="1"/>
  <c r="AA9" i="1" s="1"/>
  <c r="C10" i="1"/>
  <c r="AA10" i="1" s="1"/>
  <c r="AC10" i="1" s="1"/>
  <c r="AE10" i="1" s="1"/>
  <c r="AB11" i="1" l="1"/>
  <c r="AC11" i="1"/>
  <c r="AB12" i="1"/>
  <c r="F24" i="26"/>
  <c r="AQ24" i="26" s="1"/>
  <c r="F30" i="26"/>
  <c r="AQ30" i="26" s="1"/>
  <c r="F28" i="26"/>
  <c r="AQ28" i="26" s="1"/>
  <c r="F26" i="26"/>
  <c r="AQ26" i="26" s="1"/>
  <c r="F23" i="26"/>
  <c r="AQ23" i="26" s="1"/>
  <c r="F21" i="26"/>
  <c r="AQ21" i="26" s="1"/>
  <c r="F16" i="26"/>
  <c r="AQ16" i="26" s="1"/>
  <c r="F15" i="26"/>
  <c r="AQ15" i="26" s="1"/>
  <c r="F13" i="26"/>
  <c r="AQ13" i="26" s="1"/>
  <c r="F7" i="26"/>
  <c r="AQ7" i="26" s="1"/>
  <c r="F8" i="26"/>
  <c r="AQ8" i="26" s="1"/>
  <c r="M11" i="1"/>
  <c r="M10" i="1"/>
  <c r="M9" i="1"/>
  <c r="B7" i="22"/>
  <c r="D7" i="22" s="1"/>
  <c r="B8" i="22"/>
  <c r="D8" i="22" s="1"/>
  <c r="F8" i="22" s="1"/>
  <c r="H8" i="22" s="1"/>
  <c r="B9" i="22"/>
  <c r="D9" i="22" s="1"/>
  <c r="F9" i="22" s="1"/>
  <c r="H9" i="22" s="1"/>
  <c r="B10" i="22"/>
  <c r="D10" i="22" s="1"/>
  <c r="F10" i="22" s="1"/>
  <c r="H10" i="22" s="1"/>
  <c r="B11" i="22"/>
  <c r="D11" i="22" s="1"/>
  <c r="F11" i="22" s="1"/>
  <c r="H11" i="22" s="1"/>
  <c r="B12" i="22"/>
  <c r="B13" i="22"/>
  <c r="D13" i="22" s="1"/>
  <c r="F13" i="22" s="1"/>
  <c r="H13" i="22" s="1"/>
  <c r="B14" i="22"/>
  <c r="D14" i="22" s="1"/>
  <c r="F14" i="22" s="1"/>
  <c r="H14" i="22" s="1"/>
  <c r="B15" i="22"/>
  <c r="D15" i="22" s="1"/>
  <c r="F15" i="22" s="1"/>
  <c r="H15" i="22" s="1"/>
  <c r="B16" i="22"/>
  <c r="D16" i="22"/>
  <c r="F16" i="22" s="1"/>
  <c r="H16" i="22" s="1"/>
  <c r="G16" i="22"/>
  <c r="G15" i="22"/>
  <c r="G14" i="22"/>
  <c r="G13" i="22"/>
  <c r="D12" i="22"/>
  <c r="F12" i="22" s="1"/>
  <c r="H12" i="22" s="1"/>
  <c r="G12" i="22"/>
  <c r="G9" i="22"/>
  <c r="G10" i="22"/>
  <c r="G8" i="22"/>
  <c r="G7" i="22"/>
  <c r="G11" i="22"/>
  <c r="C8" i="1"/>
  <c r="E23" i="31"/>
  <c r="I16" i="31"/>
  <c r="D11" i="31"/>
  <c r="D13" i="30"/>
  <c r="G8" i="30"/>
  <c r="B8" i="30"/>
  <c r="D8" i="30" s="1"/>
  <c r="F8" i="30" s="1"/>
  <c r="H8" i="30" s="1"/>
  <c r="G7" i="30"/>
  <c r="B7" i="30"/>
  <c r="D7" i="30" s="1"/>
  <c r="AE11" i="1" l="1"/>
  <c r="AD11" i="1"/>
  <c r="AD12" i="1"/>
  <c r="F7" i="22"/>
  <c r="D19" i="22"/>
  <c r="D20" i="22" s="1"/>
  <c r="G9" i="30"/>
  <c r="D11" i="30"/>
  <c r="D12" i="30" s="1"/>
  <c r="D14" i="30" s="1"/>
  <c r="F7" i="30"/>
  <c r="H7" i="22" l="1"/>
  <c r="F17" i="22"/>
  <c r="D23" i="22" s="1"/>
  <c r="E16" i="19" s="1"/>
  <c r="H7" i="30"/>
  <c r="F9" i="30"/>
  <c r="D15" i="30" l="1"/>
  <c r="E15" i="31"/>
  <c r="E16" i="31" l="1"/>
  <c r="I15" i="31" s="1"/>
  <c r="E18" i="31" l="1"/>
  <c r="E19" i="31" s="1"/>
  <c r="I17" i="31"/>
  <c r="I18" i="31" s="1"/>
  <c r="E21" i="31"/>
  <c r="M8" i="1" l="1"/>
  <c r="J12" i="19"/>
  <c r="I16" i="19" s="1"/>
  <c r="I12" i="19"/>
  <c r="AR31" i="26" l="1"/>
  <c r="G19" i="1" s="1"/>
  <c r="AA31" i="26" l="1"/>
  <c r="X31" i="26"/>
  <c r="U31" i="26"/>
  <c r="R31" i="26"/>
  <c r="F11" i="1" s="1"/>
  <c r="O31" i="26"/>
  <c r="F10" i="1" s="1"/>
  <c r="L31" i="26"/>
  <c r="F9" i="1" s="1"/>
  <c r="G9" i="1" s="1"/>
  <c r="C26" i="29"/>
  <c r="C27" i="29"/>
  <c r="C28" i="29"/>
  <c r="C29" i="29"/>
  <c r="C30" i="29"/>
  <c r="C31" i="29"/>
  <c r="C32" i="29"/>
  <c r="C33" i="29"/>
  <c r="C34" i="29"/>
  <c r="C35" i="29"/>
  <c r="C36" i="29"/>
  <c r="C25" i="29"/>
  <c r="G10" i="1" l="1"/>
  <c r="G11" i="1" s="1"/>
  <c r="G12" i="1" s="1"/>
  <c r="I31" i="26"/>
  <c r="F8" i="1" s="1"/>
  <c r="G13" i="1" l="1"/>
  <c r="L12" i="1"/>
  <c r="K12" i="1"/>
  <c r="G17" i="22"/>
  <c r="E12" i="19" s="1"/>
  <c r="G14" i="1" l="1"/>
  <c r="L13" i="1"/>
  <c r="K13" i="1"/>
  <c r="E9" i="1"/>
  <c r="J9" i="1" s="1"/>
  <c r="E10" i="1"/>
  <c r="J10" i="1" s="1"/>
  <c r="E11" i="1"/>
  <c r="L11" i="1" s="1"/>
  <c r="E8" i="1"/>
  <c r="J8" i="1" s="1"/>
  <c r="B24" i="4"/>
  <c r="B23" i="4"/>
  <c r="B22" i="4"/>
  <c r="B21" i="4"/>
  <c r="B20" i="4"/>
  <c r="B19" i="4"/>
  <c r="B18" i="4"/>
  <c r="B17" i="4"/>
  <c r="B16" i="4"/>
  <c r="C5" i="28" s="1"/>
  <c r="E5" i="28" s="1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24" i="29"/>
  <c r="C37" i="29" s="1"/>
  <c r="B23" i="29"/>
  <c r="B22" i="29"/>
  <c r="B21" i="29"/>
  <c r="B20" i="29"/>
  <c r="B19" i="29"/>
  <c r="B18" i="29"/>
  <c r="B17" i="29"/>
  <c r="B16" i="29"/>
  <c r="B15" i="29"/>
  <c r="B14" i="29"/>
  <c r="B13" i="29"/>
  <c r="B12" i="29"/>
  <c r="B11" i="29"/>
  <c r="B10" i="29"/>
  <c r="B9" i="29"/>
  <c r="B8" i="29"/>
  <c r="B7" i="29"/>
  <c r="B6" i="29"/>
  <c r="B5" i="29"/>
  <c r="B4" i="29"/>
  <c r="B3" i="29"/>
  <c r="B2" i="29"/>
  <c r="B40" i="28"/>
  <c r="B41" i="28" s="1"/>
  <c r="G38" i="28"/>
  <c r="G39" i="28" s="1"/>
  <c r="D22" i="28"/>
  <c r="C22" i="28"/>
  <c r="E22" i="28" s="1"/>
  <c r="I21" i="28"/>
  <c r="C21" i="28"/>
  <c r="D20" i="28"/>
  <c r="C20" i="28"/>
  <c r="E20" i="28" s="1"/>
  <c r="D19" i="28"/>
  <c r="C19" i="28"/>
  <c r="E19" i="28" s="1"/>
  <c r="D18" i="28"/>
  <c r="C18" i="28"/>
  <c r="E18" i="28" s="1"/>
  <c r="D17" i="28"/>
  <c r="C17" i="28"/>
  <c r="E17" i="28" s="1"/>
  <c r="D16" i="28"/>
  <c r="C16" i="28"/>
  <c r="E16" i="28" s="1"/>
  <c r="I15" i="28"/>
  <c r="C15" i="28"/>
  <c r="D14" i="28"/>
  <c r="C14" i="28"/>
  <c r="E14" i="28" s="1"/>
  <c r="D13" i="28"/>
  <c r="C13" i="28"/>
  <c r="E13" i="28" s="1"/>
  <c r="D12" i="28"/>
  <c r="C12" i="28"/>
  <c r="E12" i="28" s="1"/>
  <c r="D11" i="28"/>
  <c r="C11" i="28"/>
  <c r="E11" i="28" s="1"/>
  <c r="D10" i="28"/>
  <c r="C10" i="28"/>
  <c r="E10" i="28" s="1"/>
  <c r="D9" i="28"/>
  <c r="C9" i="28"/>
  <c r="E9" i="28" s="1"/>
  <c r="D8" i="28"/>
  <c r="C8" i="28"/>
  <c r="E8" i="28" s="1"/>
  <c r="D7" i="28"/>
  <c r="C7" i="28"/>
  <c r="E7" i="28" s="1"/>
  <c r="D6" i="28"/>
  <c r="C6" i="28"/>
  <c r="E6" i="28" s="1"/>
  <c r="D5" i="28"/>
  <c r="D4" i="28"/>
  <c r="C4" i="28"/>
  <c r="E4" i="28" s="1"/>
  <c r="G15" i="1" l="1"/>
  <c r="G16" i="1" s="1"/>
  <c r="G17" i="1" s="1"/>
  <c r="L19" i="1" s="1"/>
  <c r="K14" i="1"/>
  <c r="L14" i="1"/>
  <c r="J11" i="1"/>
  <c r="K11" i="1" s="1"/>
  <c r="L10" i="1"/>
  <c r="K10" i="1"/>
  <c r="L8" i="1"/>
  <c r="L9" i="1"/>
  <c r="K9" i="1"/>
  <c r="I4" i="28"/>
  <c r="G4" i="28"/>
  <c r="H4" i="28" s="1"/>
  <c r="I5" i="28"/>
  <c r="G5" i="28"/>
  <c r="H5" i="28" s="1"/>
  <c r="I6" i="28"/>
  <c r="G6" i="28"/>
  <c r="H6" i="28" s="1"/>
  <c r="I7" i="28"/>
  <c r="G7" i="28"/>
  <c r="H7" i="28" s="1"/>
  <c r="I8" i="28"/>
  <c r="G8" i="28"/>
  <c r="H8" i="28" s="1"/>
  <c r="I9" i="28"/>
  <c r="G9" i="28"/>
  <c r="H9" i="28" s="1"/>
  <c r="I10" i="28"/>
  <c r="G10" i="28"/>
  <c r="H10" i="28" s="1"/>
  <c r="I11" i="28"/>
  <c r="G11" i="28"/>
  <c r="H11" i="28" s="1"/>
  <c r="I12" i="28"/>
  <c r="G12" i="28"/>
  <c r="H12" i="28" s="1"/>
  <c r="I13" i="28"/>
  <c r="G13" i="28"/>
  <c r="H13" i="28" s="1"/>
  <c r="I14" i="28"/>
  <c r="G14" i="28"/>
  <c r="H14" i="28" s="1"/>
  <c r="E15" i="28"/>
  <c r="G15" i="28" s="1"/>
  <c r="H15" i="28" s="1"/>
  <c r="I16" i="28"/>
  <c r="G16" i="28"/>
  <c r="H16" i="28" s="1"/>
  <c r="I17" i="28"/>
  <c r="G17" i="28"/>
  <c r="H17" i="28" s="1"/>
  <c r="I18" i="28"/>
  <c r="G18" i="28"/>
  <c r="H18" i="28" s="1"/>
  <c r="I19" i="28"/>
  <c r="G19" i="28"/>
  <c r="H19" i="28" s="1"/>
  <c r="I20" i="28"/>
  <c r="G20" i="28"/>
  <c r="H20" i="28" s="1"/>
  <c r="E21" i="28"/>
  <c r="G21" i="28" s="1"/>
  <c r="H21" i="28" s="1"/>
  <c r="I22" i="28"/>
  <c r="G22" i="28"/>
  <c r="H22" i="28" s="1"/>
  <c r="G41" i="28"/>
  <c r="G40" i="28"/>
  <c r="E6" i="26"/>
  <c r="E23" i="19"/>
  <c r="F6" i="26" l="1"/>
  <c r="AQ6" i="26" s="1"/>
  <c r="G25" i="28"/>
  <c r="G26" i="28" s="1"/>
  <c r="I23" i="28"/>
  <c r="K8" i="1"/>
  <c r="AQ31" i="26" l="1"/>
  <c r="N34" i="26" s="1"/>
  <c r="N35" i="26" s="1"/>
  <c r="N19" i="1" s="1"/>
  <c r="O19" i="1" s="1"/>
  <c r="E15" i="19"/>
  <c r="I19" i="1" l="1"/>
  <c r="N9" i="1" l="1"/>
  <c r="O9" i="1" s="1"/>
  <c r="T9" i="1" s="1"/>
  <c r="V9" i="1" s="1"/>
  <c r="N8" i="1"/>
  <c r="O8" i="1" s="1"/>
  <c r="T8" i="1" s="1"/>
  <c r="V8" i="1" s="1"/>
  <c r="N11" i="1"/>
  <c r="O11" i="1" s="1"/>
  <c r="T11" i="1" s="1"/>
  <c r="V11" i="1" s="1"/>
  <c r="N10" i="1"/>
  <c r="O10" i="1" s="1"/>
  <c r="T10" i="1" s="1"/>
  <c r="V10" i="1" s="1"/>
  <c r="AC9" i="1"/>
  <c r="AE9" i="1" s="1"/>
  <c r="AA8" i="1"/>
  <c r="AB10" i="1"/>
  <c r="AB9" i="1"/>
  <c r="AB8" i="1"/>
  <c r="AC8" i="1"/>
  <c r="AE8" i="1" s="1"/>
  <c r="D10" i="1"/>
  <c r="D11" i="1"/>
  <c r="D9" i="1"/>
  <c r="D8" i="1"/>
  <c r="E18" i="19"/>
  <c r="E19" i="19" s="1"/>
  <c r="E21" i="19"/>
  <c r="I15" i="19"/>
  <c r="Q19" i="1" l="1"/>
  <c r="P19" i="1"/>
  <c r="Z19" i="1"/>
  <c r="P8" i="1"/>
  <c r="P11" i="1"/>
  <c r="AD10" i="1"/>
  <c r="P10" i="1"/>
  <c r="P9" i="1"/>
  <c r="R19" i="1"/>
  <c r="T19" i="1"/>
  <c r="Q8" i="1"/>
  <c r="R8" i="1" s="1"/>
  <c r="Q9" i="1"/>
  <c r="R9" i="1" s="1"/>
  <c r="Q11" i="1"/>
  <c r="R11" i="1" s="1"/>
  <c r="Q10" i="1"/>
  <c r="R10" i="1" s="1"/>
  <c r="AD9" i="1"/>
  <c r="AD8" i="1"/>
  <c r="U9" i="1"/>
  <c r="U11" i="1"/>
  <c r="U10" i="1"/>
  <c r="U8" i="1"/>
  <c r="I17" i="19"/>
  <c r="D11" i="19"/>
  <c r="V19" i="1" l="1"/>
  <c r="W19" i="1"/>
  <c r="W9" i="1"/>
  <c r="W11" i="1"/>
  <c r="W10" i="1"/>
  <c r="W8" i="1"/>
  <c r="I18" i="19"/>
  <c r="X19" i="1" s="1"/>
  <c r="X9" i="1" l="1"/>
  <c r="X10" i="1"/>
  <c r="X11" i="1"/>
  <c r="X8" i="1"/>
  <c r="D22" i="22"/>
  <c r="N22" i="34"/>
  <c r="I9" i="35" s="1"/>
  <c r="N23" i="34" l="1"/>
  <c r="N9" i="35" s="1"/>
  <c r="O9" i="35" s="1"/>
  <c r="P9" i="35" s="1"/>
  <c r="T9" i="35"/>
  <c r="Q9" i="35"/>
  <c r="R9" i="35" s="1"/>
  <c r="Z9" i="35"/>
  <c r="W9" i="35" l="1"/>
  <c r="V9" i="35"/>
  <c r="X9" i="3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Alya Rabea</author>
    <author>tc={90FD7038-0988-4EF8-A168-D471F6749CDA}</author>
    <author>tc={D163F3AA-0745-48DF-B51A-775E57149DA0}</author>
  </authors>
  <commentList>
    <comment ref="L6" authorId="0" shapeId="0" xr:uid="{7D75C2F8-9601-4BDC-950E-6A648A06005E}">
      <text>
        <r>
          <rPr>
            <b/>
            <sz val="9"/>
            <color indexed="81"/>
            <rFont val="Tahoma"/>
            <family val="2"/>
          </rPr>
          <t>Alya Rabea:</t>
        </r>
        <r>
          <rPr>
            <sz val="9"/>
            <color indexed="81"/>
            <rFont val="Tahoma"/>
            <family val="2"/>
          </rPr>
          <t xml:space="preserve">
If overrun is +ve: the project is running out of budget
If overrun is -ve: we're within budget</t>
        </r>
      </text>
    </comment>
    <comment ref="H9" authorId="1" shapeId="0" xr:uid="{90FD7038-0988-4EF8-A168-D471F6749CDA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revisit</t>
      </text>
    </comment>
    <comment ref="AA9" authorId="2" shapeId="0" xr:uid="{D163F3AA-0745-48DF-B51A-775E57149DA0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Correct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Alya Rabea</author>
  </authors>
  <commentList>
    <comment ref="L6" authorId="0" shapeId="0" xr:uid="{CA1EA2E4-E48D-403F-8EF5-FC0FF982385E}">
      <text>
        <r>
          <rPr>
            <b/>
            <sz val="9"/>
            <color indexed="81"/>
            <rFont val="Tahoma"/>
            <family val="2"/>
          </rPr>
          <t>Alya Rabea:</t>
        </r>
        <r>
          <rPr>
            <sz val="9"/>
            <color indexed="81"/>
            <rFont val="Tahoma"/>
            <family val="2"/>
          </rPr>
          <t xml:space="preserve">
If overrun is +ve: the project is running out of budget
If overrun is -ve: we're within budget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tc={2359AA8C-5B23-4A84-AAED-05047506C415}</author>
  </authors>
  <commentList>
    <comment ref="E7" authorId="0" shapeId="0" xr:uid="{2359AA8C-5B23-4A84-AAED-05047506C415}">
      <text>
        <t>[Threaded comment]
Your version of Excel allows you to read this threaded comment; however, any edits to it will get removed if the file is opened in a newer version of Excel. Learn more: https://go.microsoft.com/fwlink/?linkid=870924
Comment:
    10 as pre sales or 12 as phase duration?</t>
      </text>
    </comment>
  </commentList>
</comments>
</file>

<file path=xl/sharedStrings.xml><?xml version="1.0" encoding="utf-8"?>
<sst xmlns="http://schemas.openxmlformats.org/spreadsheetml/2006/main" count="854" uniqueCount="312">
  <si>
    <t>Project Budget</t>
  </si>
  <si>
    <t>Approved Budget Changes</t>
  </si>
  <si>
    <t>Project Name</t>
  </si>
  <si>
    <t>Reason</t>
  </si>
  <si>
    <t>Plan or CR ID</t>
  </si>
  <si>
    <t>Changes Cost</t>
  </si>
  <si>
    <t>Changes Revenue</t>
  </si>
  <si>
    <t>Client</t>
  </si>
  <si>
    <t>Contract start date</t>
  </si>
  <si>
    <t>Contract end date</t>
  </si>
  <si>
    <t>Contract duration</t>
  </si>
  <si>
    <t>Contract Type</t>
  </si>
  <si>
    <t>FS</t>
  </si>
  <si>
    <t>Scope</t>
  </si>
  <si>
    <t>Support start and end dates</t>
  </si>
  <si>
    <t>Progress</t>
  </si>
  <si>
    <t>(1)</t>
  </si>
  <si>
    <t>Total Mandays</t>
  </si>
  <si>
    <t>Total Changes on Budget</t>
  </si>
  <si>
    <t>Approved Project Budget</t>
  </si>
  <si>
    <t>Final Budget (SAR)</t>
  </si>
  <si>
    <t>(2)</t>
  </si>
  <si>
    <t>Total Estimated Cost ($)</t>
  </si>
  <si>
    <t>Total Cost after changes</t>
  </si>
  <si>
    <t>(3)</t>
  </si>
  <si>
    <t>Total Estimated Cost (SAR)</t>
  </si>
  <si>
    <t>Total Revenue after changes</t>
  </si>
  <si>
    <t>(4)</t>
  </si>
  <si>
    <t>Total Revenue</t>
  </si>
  <si>
    <t>Budget Profit (SAR)</t>
  </si>
  <si>
    <t>(5)</t>
  </si>
  <si>
    <t>Budget Profit (%)</t>
  </si>
  <si>
    <t>(6)</t>
  </si>
  <si>
    <t>Estimated MD cost (SAR)</t>
  </si>
  <si>
    <t>Estimated MD Price (SAR)</t>
  </si>
  <si>
    <t>Invoices Schedule</t>
  </si>
  <si>
    <t>#</t>
  </si>
  <si>
    <t>Invoiced Item</t>
  </si>
  <si>
    <t>Planned Date</t>
  </si>
  <si>
    <t>Invoice Value</t>
  </si>
  <si>
    <t>Business Line</t>
  </si>
  <si>
    <t>Status</t>
  </si>
  <si>
    <t>License</t>
  </si>
  <si>
    <t>Service</t>
  </si>
  <si>
    <t>3rd Party</t>
  </si>
  <si>
    <t>Abdelrahman Doghish</t>
  </si>
  <si>
    <t>Third party license</t>
  </si>
  <si>
    <t>Outsystems license</t>
  </si>
  <si>
    <t>PM Name</t>
  </si>
  <si>
    <t>Contract Start Date</t>
  </si>
  <si>
    <t>Contract End Date</t>
  </si>
  <si>
    <t>Current Scope</t>
  </si>
  <si>
    <t>Support Start Date</t>
  </si>
  <si>
    <t>Support End Date</t>
  </si>
  <si>
    <t>Licenses and 3rd party Revenue</t>
  </si>
  <si>
    <t>Licenses and 3rd party Cost</t>
  </si>
  <si>
    <t>Presales Budget</t>
  </si>
  <si>
    <t>Current Month calculations</t>
  </si>
  <si>
    <t xml:space="preserve">Cost Variance </t>
  </si>
  <si>
    <t>Profitability</t>
  </si>
  <si>
    <t>Profit Variance</t>
  </si>
  <si>
    <r>
      <t xml:space="preserve">Progress and Virtual Invoices </t>
    </r>
    <r>
      <rPr>
        <b/>
        <sz val="16"/>
        <color theme="0"/>
        <rFont val="Arial"/>
        <family val="2"/>
        <scheme val="minor"/>
      </rPr>
      <t>for fixed cost</t>
    </r>
  </si>
  <si>
    <t>Month</t>
  </si>
  <si>
    <t>Consumed Revenue</t>
  </si>
  <si>
    <t>Total Revenue (SAR)</t>
  </si>
  <si>
    <t>Estimated Effort MDs</t>
  </si>
  <si>
    <t>This month MDs</t>
  </si>
  <si>
    <t>Actual Effort to Date (MD)</t>
  </si>
  <si>
    <t>% Completion from plan</t>
  </si>
  <si>
    <t>Current Cost (SAR)</t>
  </si>
  <si>
    <t>Estimated Remaining (MD)</t>
  </si>
  <si>
    <t>EAC MDs</t>
  </si>
  <si>
    <t>Expected overrun (SAR)</t>
  </si>
  <si>
    <t>Revenue to date</t>
  </si>
  <si>
    <t>Estimated Cost to Complete</t>
  </si>
  <si>
    <t>Estimate at Completion</t>
  </si>
  <si>
    <t>CPI</t>
  </si>
  <si>
    <t>Variance</t>
  </si>
  <si>
    <t>Variance (%)</t>
  </si>
  <si>
    <t>Profit at Completion</t>
  </si>
  <si>
    <t>Planned Profit</t>
  </si>
  <si>
    <t>Profit at Completion (%)</t>
  </si>
  <si>
    <t>Profitability Variance</t>
  </si>
  <si>
    <t>Profitability Variance (%)</t>
  </si>
  <si>
    <t>Total Issued Invoices (SAR)</t>
  </si>
  <si>
    <t>Progress %</t>
  </si>
  <si>
    <t>Total Recognized Revenue</t>
  </si>
  <si>
    <t xml:space="preserve">Production
</t>
  </si>
  <si>
    <t>Accumulative virtual invoice</t>
  </si>
  <si>
    <t>This month Virtual Invoice</t>
  </si>
  <si>
    <t>VI+Issued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</si>
  <si>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</si>
  <si>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</si>
  <si>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</si>
  <si>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</si>
  <si>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</si>
  <si>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</si>
  <si>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</si>
  <si>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</si>
  <si>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</si>
  <si>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</si>
  <si>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</si>
  <si>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</si>
  <si>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</si>
  <si>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Fill in Yellow Cells with current Team Effort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</si>
  <si>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</si>
  <si>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</si>
  <si>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</si>
  <si>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</si>
  <si>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</si>
  <si>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</si>
  <si>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</si>
  <si>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</si>
  <si>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</si>
  <si>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</si>
  <si>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</si>
  <si>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Name</t>
  </si>
  <si>
    <t>Position</t>
  </si>
  <si>
    <t>Hour Rate ($)</t>
  </si>
  <si>
    <t>Overtime Rate</t>
  </si>
  <si>
    <t>Regular Time (MH)</t>
  </si>
  <si>
    <t>Ramdan Hours</t>
  </si>
  <si>
    <t>Over Time (MH)</t>
  </si>
  <si>
    <t>Total Cost</t>
  </si>
  <si>
    <t>Current MDs done</t>
  </si>
  <si>
    <t>Abdelrhman Doghish</t>
  </si>
  <si>
    <t>KSA - Project Manager</t>
  </si>
  <si>
    <t xml:space="preserve">Ahmed Araby </t>
  </si>
  <si>
    <t>EGY - Sr UX Designer</t>
  </si>
  <si>
    <t>Ahmed Mortdi</t>
  </si>
  <si>
    <t>EGY - Software Engineer</t>
  </si>
  <si>
    <t xml:space="preserve">Basem Mohamed </t>
  </si>
  <si>
    <t>EGY - Project Manager</t>
  </si>
  <si>
    <t>David Magdy</t>
  </si>
  <si>
    <t>EGY - Lead Software Engineer</t>
  </si>
  <si>
    <t>Haitham Nabil</t>
  </si>
  <si>
    <t>EGY - Sr Business Analyst</t>
  </si>
  <si>
    <t>Mahmoud Spahi</t>
  </si>
  <si>
    <t>KSA - Solution Architect / Manager</t>
  </si>
  <si>
    <t>Menna Adel</t>
  </si>
  <si>
    <t>Moatasem Hatem</t>
  </si>
  <si>
    <t>EGY - Lead Business Analyst</t>
  </si>
  <si>
    <t>EGY - Lead Business Analyst - onsite</t>
  </si>
  <si>
    <t>Mostafa Bekhet</t>
  </si>
  <si>
    <t>EGY - Lead Software Engineer - onsite</t>
  </si>
  <si>
    <t>Mustafa Mokhtar</t>
  </si>
  <si>
    <t>EGY - Sr Business Analyst - onsite</t>
  </si>
  <si>
    <t>Sandra Lateef Nashed Awad</t>
  </si>
  <si>
    <t>Total Cost in SAR</t>
  </si>
  <si>
    <t xml:space="preserve">Average Cost per MD </t>
  </si>
  <si>
    <t>Augast</t>
  </si>
  <si>
    <t>February</t>
  </si>
  <si>
    <t>Talal Abdulwahed</t>
  </si>
  <si>
    <t>Abeer AbdelHameed</t>
  </si>
  <si>
    <t>EGY - Business Analyst - onsite</t>
  </si>
  <si>
    <t xml:space="preserve">Amr Ahmed </t>
  </si>
  <si>
    <t>Bushra ElGhamdi</t>
  </si>
  <si>
    <t>KSA - Business Analyst</t>
  </si>
  <si>
    <t>KSA- Sr Business Analyst</t>
  </si>
  <si>
    <t>Dina Said</t>
  </si>
  <si>
    <t>Emad Elgabri</t>
  </si>
  <si>
    <t xml:space="preserve">Kareem Waleed </t>
  </si>
  <si>
    <t xml:space="preserve">Menna Adel </t>
  </si>
  <si>
    <t>Mohammad Nabil</t>
  </si>
  <si>
    <t>Mohamed Abdallah</t>
  </si>
  <si>
    <t>Mohamed Eldegwy</t>
  </si>
  <si>
    <t>EGY - Lead UX Designer</t>
  </si>
  <si>
    <t>Mohamed Foad</t>
  </si>
  <si>
    <t>Khaled Elbialy</t>
  </si>
  <si>
    <t>Moahmed Ismail</t>
  </si>
  <si>
    <t>Mostafa Mokhtar</t>
  </si>
  <si>
    <t>EGY - Sr. Software Engineer - onsite</t>
  </si>
  <si>
    <t>Shady Mahfouz</t>
  </si>
  <si>
    <t>EGY - Business Analyst</t>
  </si>
  <si>
    <t>Njoud ElMubarek</t>
  </si>
  <si>
    <t>How to use this Cost Sheet</t>
  </si>
  <si>
    <t>Column</t>
  </si>
  <si>
    <t>Description</t>
  </si>
  <si>
    <t>1</t>
  </si>
  <si>
    <t>Total Project Mandays as per the estimation, proposal or contract</t>
  </si>
  <si>
    <t>2</t>
  </si>
  <si>
    <t>Estimated cost based on estimation (FP Projects) or No of resources (T&amp;M projects)
Generally, estimated cost = No of Mandays* Cost per Manday</t>
  </si>
  <si>
    <t>3</t>
  </si>
  <si>
    <t>Estimated Cost in SAR</t>
  </si>
  <si>
    <t>4</t>
  </si>
  <si>
    <t>Revenue as per contract</t>
  </si>
  <si>
    <t>5</t>
  </si>
  <si>
    <t>Profit = Revenue - Estimated Cost</t>
  </si>
  <si>
    <t>6</t>
  </si>
  <si>
    <t>Profit as a percentage of Revenue</t>
  </si>
  <si>
    <t>7</t>
  </si>
  <si>
    <t>Current Cost based on current team effort - according to rate per hour for every resource</t>
  </si>
  <si>
    <t>8</t>
  </si>
  <si>
    <t>Remaining mandays in the project based on baseline estimation (FPP) or contract (T&amp;M)</t>
  </si>
  <si>
    <t>9</t>
  </si>
  <si>
    <t xml:space="preserve">  = Estimated Remaining Mandays * Cost per Manday</t>
  </si>
  <si>
    <t>10</t>
  </si>
  <si>
    <t xml:space="preserve">  = Current Cost + Estimated Remaining</t>
  </si>
  <si>
    <t>11</t>
  </si>
  <si>
    <t xml:space="preserve">  = Total Estimated Cost - Estimate at Completion</t>
  </si>
  <si>
    <t>12</t>
  </si>
  <si>
    <t>Variance as a percentage of Total Cost</t>
  </si>
  <si>
    <t>13</t>
  </si>
  <si>
    <t xml:space="preserve">  = Total Revenue after CRs - Estimate at Completion</t>
  </si>
  <si>
    <t>14</t>
  </si>
  <si>
    <t>Profit at Completion as a percentage of Revenue</t>
  </si>
  <si>
    <t>15</t>
  </si>
  <si>
    <t xml:space="preserve">  = Profit at Completion - Baseline Profit (after CRs)</t>
  </si>
  <si>
    <t>16</t>
  </si>
  <si>
    <t xml:space="preserve">  = Budget Profit % - Profit at Completion %</t>
  </si>
  <si>
    <t>17</t>
  </si>
  <si>
    <t>Total issued invoices</t>
  </si>
  <si>
    <t>All issued invoices for services only</t>
  </si>
  <si>
    <t>18</t>
  </si>
  <si>
    <t xml:space="preserve"> The consumed cost from total EAC
= Current Cost/ Estimat at completion</t>
  </si>
  <si>
    <t>19</t>
  </si>
  <si>
    <t>Total Recognised Revenue</t>
  </si>
  <si>
    <t xml:space="preserve"> = progress% * Revenue
According to actual effort done and progress of work, this is the amount of invoices I should issue, or the revenue I should receive.</t>
  </si>
  <si>
    <t>Put planned resources for the project and their positions to calculate Cost per month</t>
  </si>
  <si>
    <t>Delivery Estimation</t>
  </si>
  <si>
    <t>Actual Time (MH)</t>
  </si>
  <si>
    <t>Onsite Rate ($)</t>
  </si>
  <si>
    <t>Actual Time Onsite (MH)</t>
  </si>
  <si>
    <t>Cost * Period</t>
  </si>
  <si>
    <t>MD</t>
  </si>
  <si>
    <t>Amr Elwitidi</t>
  </si>
  <si>
    <t>Asmaa Ibrahim</t>
  </si>
  <si>
    <t>Abdessalem Hadad</t>
  </si>
  <si>
    <t>KSA - Solution Architect</t>
  </si>
  <si>
    <t>Ahmed Serag</t>
  </si>
  <si>
    <t>KSA - Lead Software Engineer</t>
  </si>
  <si>
    <t>Samah El Sayed</t>
  </si>
  <si>
    <t>Aya Saeed</t>
  </si>
  <si>
    <t>EGY - Sr. Software Engineer</t>
  </si>
  <si>
    <t>Abdulrahman Abdallah</t>
  </si>
  <si>
    <t>Senior Software Developer</t>
  </si>
  <si>
    <t>Ahmed Gameel</t>
  </si>
  <si>
    <t>Mahmoud Sayed</t>
  </si>
  <si>
    <t>Fady Ayman</t>
  </si>
  <si>
    <t>Rana Wael</t>
  </si>
  <si>
    <t>Youmna Mahmoud</t>
  </si>
  <si>
    <t>EGY - Sr Quality Engineer</t>
  </si>
  <si>
    <t>Yasmin Tarek</t>
  </si>
  <si>
    <t>EGY - Quality Engineer</t>
  </si>
  <si>
    <t>Ahmed Badawy</t>
  </si>
  <si>
    <t>Mohamed Degwy</t>
  </si>
  <si>
    <t>EGY - UX Designer</t>
  </si>
  <si>
    <t>UI DESIGNER</t>
  </si>
  <si>
    <t>Fill in below info from Contract:</t>
  </si>
  <si>
    <t>TOTAL USD</t>
  </si>
  <si>
    <t>Contract Period in months</t>
  </si>
  <si>
    <t>TOTAL Estimated Cost SAR</t>
  </si>
  <si>
    <t>No of Resources required</t>
  </si>
  <si>
    <t>Total Mandays estimated for the project</t>
  </si>
  <si>
    <t>Support Estimation</t>
  </si>
  <si>
    <t>TOTAL USD per month (22 days)</t>
  </si>
  <si>
    <t>TOTAL Estimated Cost per month (22 days) SAR</t>
  </si>
  <si>
    <t>TOTAL Estimated Cost per Day SAR</t>
  </si>
  <si>
    <t>Cost for 7 months</t>
  </si>
  <si>
    <t>Cost per month</t>
  </si>
  <si>
    <t>Estimated # of Months</t>
  </si>
  <si>
    <t>Total cost USD</t>
  </si>
  <si>
    <t>Total No of MDs</t>
  </si>
  <si>
    <t>Column1</t>
  </si>
  <si>
    <t>KSA - Sr. Software Engineer</t>
  </si>
  <si>
    <t>KSA - Software Engineer</t>
  </si>
  <si>
    <t>KSA - Sr. Technical Support</t>
  </si>
  <si>
    <t>Estimated MDs / Month</t>
  </si>
  <si>
    <t>TOTAL Estimated Cost per MD SAR</t>
  </si>
  <si>
    <t>Total project estimated Cost (SAR)</t>
  </si>
  <si>
    <t>KSA - Technical Support</t>
  </si>
  <si>
    <t>Hour Rate</t>
  </si>
  <si>
    <t>MD Rate</t>
  </si>
  <si>
    <t>Tunis Rates</t>
  </si>
  <si>
    <t>450</t>
  </si>
  <si>
    <t>633</t>
  </si>
  <si>
    <t xml:space="preserve">Tarek GUIZANI </t>
  </si>
  <si>
    <t xml:space="preserve">SOUHAIL HAJRI </t>
  </si>
  <si>
    <t>Houda BOUZAZI</t>
  </si>
  <si>
    <t>696</t>
  </si>
  <si>
    <t>Marwen Reguigui</t>
  </si>
  <si>
    <t>Emna ZOUAOUI</t>
  </si>
  <si>
    <t>Safouene ZID</t>
  </si>
  <si>
    <t>KSA - Lead Business Analyst</t>
  </si>
  <si>
    <t>Khoubaieb GHAOUARI</t>
  </si>
  <si>
    <t>898</t>
  </si>
  <si>
    <t>Rafeh ZEKRI</t>
  </si>
  <si>
    <t>Samia ACHOURI</t>
  </si>
  <si>
    <t>223</t>
  </si>
  <si>
    <t>Achraf SALMI</t>
  </si>
  <si>
    <t>253</t>
  </si>
  <si>
    <t>Zein el Abidin TRABELSI</t>
  </si>
  <si>
    <t>277</t>
  </si>
  <si>
    <t>Arafet ZOUARI</t>
  </si>
  <si>
    <t>Sarra OUNISSI</t>
  </si>
  <si>
    <t>235</t>
  </si>
  <si>
    <t>Aicha CHATTI</t>
  </si>
  <si>
    <t>Abir HAMMAMI</t>
  </si>
  <si>
    <t>301</t>
  </si>
  <si>
    <t>Naiim BSILI</t>
  </si>
  <si>
    <t>IKbel BOUZRATI</t>
  </si>
  <si>
    <t>Iheb MAATALI RIAHI</t>
  </si>
  <si>
    <t>EGY - Lead Quality Engineer</t>
  </si>
  <si>
    <t>EGY - Software Engineer - onsite</t>
  </si>
  <si>
    <t>EGY - Project Manager - onsite</t>
  </si>
  <si>
    <t>EGY - Quality Engineer - onsite</t>
  </si>
  <si>
    <t>EGY - Sr Quality Engineer - onsite</t>
  </si>
  <si>
    <t>EGY - Lead Quality Engineer - onsite</t>
  </si>
  <si>
    <t>EGY - UX Designer - onsite</t>
  </si>
  <si>
    <t>EGY - Sr UX Designer - onsite</t>
  </si>
  <si>
    <t>EGY - Lead UX Designer - onsite</t>
  </si>
  <si>
    <t>USD to SAR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</si>
</sst>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[$$-409]* #,##0.00_);_([$$-409]* \(#,##0.00\);_([$$-409]* &quot;-&quot;??_);_(@_)"/>
    <numFmt numFmtId="166" formatCode="_(&quot;$&quot;* #,##0.0_);_(&quot;$&quot;* \(#,##0.0\);_(&quot;$&quot;* &quot;-&quot;??_);_(@_)"/>
    <numFmt numFmtId="167" formatCode="_-* #,##0.00\ [$SAR]_-;\-* #,##0.00\ [$SAR]_-;_-* &quot;-&quot;??\ [$SAR]_-;_-@"/>
    <numFmt numFmtId="168" formatCode="_-* #,##0.00_-;\-* #,##0.00_-;_-* &quot;-&quot;??_-;_-@"/>
    <numFmt numFmtId="169" formatCode="[$USD]\ #,##0"/>
    <numFmt numFmtId="170" formatCode="_-* #,##0.00\ [$USD]_-;\-* #,##0.00\ [$USD]_-;_-* &quot;-&quot;??\ [$USD]_-;_-@"/>
    <numFmt numFmtId="171" formatCode="_([$SAR]\ * #,##0.00_);_([$SAR]\ * \(#,##0.00\);_([$SAR]\ * &quot;-&quot;??_);_(@_)"/>
    <numFmt numFmtId="172" formatCode="_(* #,##0.0_);_(* \(#,##0.0\);_(* &quot;-&quot;?_);_(@_)"/>
    <numFmt numFmtId="173" formatCode="_([$USD]\ * #,##0.00_);_([$USD]\ * \(#,##0.00\);_([$USD]\ * &quot;-&quot;??_);_(@_)"/>
    <numFmt numFmtId="174" formatCode="_(* #,##0_);_(* \(#,##0\);_(* &quot;-&quot;??_);_(@_)"/>
    <numFmt numFmtId="175" formatCode="[$USD]\ #,##0.00"/>
    <numFmt numFmtId="176" formatCode="&quot;$&quot;#,##0.00"/>
    <numFmt numFmtId="177" formatCode="0.00000%"/>
  </numFmts>
  <fonts count="47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sz val="12"/>
      <color rgb="FFFFFFFF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  <font>
      <b/>
      <sz val="13"/>
      <color rgb="FF44546A"/>
      <name val="Calibri"/>
      <family val="2"/>
    </font>
    <font>
      <b/>
      <sz val="11"/>
      <color rgb="FF2E75B5"/>
      <name val="Calibri"/>
      <family val="2"/>
    </font>
    <font>
      <sz val="11"/>
      <color rgb="FF548135"/>
      <name val="Calibri"/>
      <family val="2"/>
    </font>
    <font>
      <sz val="11"/>
      <name val="Arial"/>
      <family val="2"/>
      <scheme val="minor"/>
    </font>
    <font>
      <b/>
      <sz val="10"/>
      <color theme="8"/>
      <name val="Arial"/>
      <family val="2"/>
    </font>
    <font>
      <sz val="12"/>
      <color theme="1"/>
      <name val="Calibri"/>
      <family val="2"/>
    </font>
    <font>
      <b/>
      <sz val="12"/>
      <color theme="1"/>
      <name val="Calibri "/>
    </font>
    <font>
      <sz val="12"/>
      <color theme="1"/>
      <name val="Calibri "/>
    </font>
    <font>
      <b/>
      <sz val="11"/>
      <name val="Arial"/>
      <family val="2"/>
    </font>
    <font>
      <b/>
      <sz val="12"/>
      <name val="Calibri "/>
    </font>
    <font>
      <b/>
      <sz val="11"/>
      <color theme="8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4"/>
      <color theme="0"/>
      <name val="Arial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  <scheme val="minor"/>
    </font>
    <font>
      <b/>
      <sz val="12"/>
      <color theme="1" tint="0.499984740745262"/>
      <name val="Arial"/>
      <family val="2"/>
      <scheme val="minor"/>
    </font>
    <font>
      <b/>
      <sz val="12"/>
      <color theme="0"/>
      <name val="Arial"/>
      <family val="2"/>
      <scheme val="minor"/>
    </font>
    <font>
      <sz val="8"/>
      <name val="Arial"/>
      <family val="2"/>
      <scheme val="minor"/>
    </font>
    <font>
      <b/>
      <sz val="11"/>
      <color rgb="FFC00000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b/>
      <sz val="12"/>
      <color rgb="FF000000"/>
      <name val="Calibri "/>
    </font>
    <font>
      <sz val="11"/>
      <color rgb="FFFF0000"/>
      <name val="Calibri"/>
      <family val="2"/>
    </font>
    <font>
      <b/>
      <sz val="11"/>
      <color theme="4" tint="-0.249977111117893"/>
      <name val="Calibri"/>
      <family val="2"/>
    </font>
    <font>
      <b/>
      <sz val="20"/>
      <color rgb="FF0113FF"/>
      <name val="Arial"/>
      <family val="2"/>
    </font>
    <font>
      <b/>
      <sz val="12"/>
      <color theme="4" tint="-0.249977111117893"/>
      <name val="Calibri"/>
      <family val="2"/>
    </font>
    <font>
      <sz val="11"/>
      <color rgb="FF0113FF"/>
      <name val="Arial"/>
      <family val="2"/>
      <scheme val="minor"/>
    </font>
    <font>
      <b/>
      <sz val="11"/>
      <color theme="4" tint="-0.249977111117893"/>
      <name val="Arial"/>
      <family val="2"/>
    </font>
    <font>
      <b/>
      <u/>
      <sz val="16"/>
      <color rgb="FF0113FF"/>
      <name val="Arial"/>
      <family val="2"/>
    </font>
    <font>
      <b/>
      <u/>
      <sz val="12"/>
      <color rgb="FF0113FF"/>
      <name val="Arial"/>
      <family val="2"/>
    </font>
    <font>
      <b/>
      <sz val="12"/>
      <color rgb="FF0113FF"/>
      <name val="Arial"/>
      <family val="2"/>
    </font>
    <font>
      <b/>
      <sz val="11"/>
      <color rgb="FF000000"/>
      <name val="Calibri"/>
      <family val="2"/>
    </font>
    <font>
      <sz val="12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0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A5A5A5"/>
        <bgColor rgb="FFA5A5A5"/>
      </patternFill>
    </fill>
    <fill>
      <patternFill patternType="solid">
        <fgColor theme="2" tint="-9.9978637043366805E-2"/>
        <bgColor rgb="FF808080"/>
      </patternFill>
    </fill>
    <fill>
      <patternFill patternType="solid">
        <fgColor theme="2"/>
        <bgColor rgb="FF808080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rgb="FF80808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6DCE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  <fill>
      <patternFill patternType="solid">
        <fgColor rgb="FF0113FF"/>
        <bgColor indexed="64"/>
      </patternFill>
    </fill>
    <fill>
      <patternFill patternType="solid">
        <fgColor rgb="FF0113FF"/>
        <bgColor rgb="FF404040"/>
      </patternFill>
    </fill>
    <fill>
      <patternFill patternType="solid">
        <fgColor theme="0" tint="-4.9989318521683403E-2"/>
        <bgColor rgb="FF808080"/>
      </patternFill>
    </fill>
    <fill>
      <patternFill patternType="solid">
        <fgColor theme="0" tint="-4.9989318521683403E-2"/>
        <bgColor rgb="FFE7E6E6"/>
      </patternFill>
    </fill>
    <fill>
      <patternFill patternType="solid">
        <fgColor rgb="FF0113FF"/>
        <bgColor rgb="FF3A3838"/>
      </patternFill>
    </fill>
    <fill>
      <patternFill patternType="solid">
        <fgColor theme="0" tint="-0.14999847407452621"/>
        <bgColor rgb="FFA5A5A5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4.9989318521683403E-2"/>
        <bgColor rgb="FFA5A5A5"/>
      </patternFill>
    </fill>
    <fill>
      <patternFill patternType="solid">
        <fgColor theme="4" tint="0.79998168889431442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/>
      <right/>
      <top/>
      <bottom style="thin">
        <color rgb="FFCCCCCC"/>
      </bottom>
      <diagonal/>
    </border>
    <border>
      <left style="thin">
        <color theme="2"/>
      </left>
      <right/>
      <top/>
      <bottom style="thin">
        <color rgb="FFCCCCCC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2" tint="-0.249977111117893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rgb="FF5B9BD5"/>
      </top>
      <bottom style="medium">
        <color rgb="FF5B9BD5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medium">
        <color rgb="FF5B9BD5"/>
      </bottom>
      <diagonal/>
    </border>
    <border>
      <left/>
      <right style="thin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14999847407452621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1499984740745262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14999847407452621"/>
      </top>
      <bottom/>
      <diagonal/>
    </border>
    <border>
      <left/>
      <right style="thin">
        <color theme="0" tint="-0.34998626667073579"/>
      </right>
      <top style="thin">
        <color theme="0" tint="-0.14999847407452621"/>
      </top>
      <bottom/>
      <diagonal/>
    </border>
    <border>
      <left style="thin">
        <color theme="0" tint="-0.34998626667073579"/>
      </left>
      <right style="thin">
        <color rgb="FF0113FF"/>
      </right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0113FF"/>
      </left>
      <right/>
      <top style="thin">
        <color rgb="FF0113FF"/>
      </top>
      <bottom style="thin">
        <color rgb="FF0113FF"/>
      </bottom>
      <diagonal/>
    </border>
    <border>
      <left/>
      <right style="thin">
        <color rgb="FF0113FF"/>
      </right>
      <top style="thin">
        <color rgb="FF0113FF"/>
      </top>
      <bottom style="thin">
        <color rgb="FF0113FF"/>
      </bottom>
      <diagonal/>
    </border>
    <border>
      <left style="thin">
        <color theme="0" tint="-0.34998626667073579"/>
      </left>
      <right style="thin">
        <color rgb="FF0113FF"/>
      </right>
      <top style="thin">
        <color theme="0" tint="-0.34998626667073579"/>
      </top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rgb="FF0113FF"/>
      </right>
      <top/>
      <bottom style="thin">
        <color theme="0" tint="-0.34998626667073579"/>
      </bottom>
      <diagonal/>
    </border>
    <border>
      <left/>
      <right/>
      <top style="thin">
        <color rgb="FF0113FF"/>
      </top>
      <bottom style="thin">
        <color rgb="FF0113FF"/>
      </bottom>
      <diagonal/>
    </border>
    <border>
      <left/>
      <right/>
      <top style="thin">
        <color theme="0" tint="-0.14999847407452621"/>
      </top>
      <bottom style="thin">
        <color rgb="FF0113FF"/>
      </bottom>
      <diagonal/>
    </border>
    <border>
      <left/>
      <right style="thin">
        <color theme="0" tint="-0.34998626667073579"/>
      </right>
      <top style="thin">
        <color theme="0" tint="-0.14999847407452621"/>
      </top>
      <bottom style="thin">
        <color rgb="FF0113FF"/>
      </bottom>
      <diagonal/>
    </border>
    <border>
      <left style="thin">
        <color rgb="FFCCCCCC"/>
      </left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rgb="FFCCCCCC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ck">
        <color rgb="FF0113FF"/>
      </right>
      <top style="medium">
        <color rgb="FF5B9BD5"/>
      </top>
      <bottom style="medium">
        <color rgb="FF5B9BD5"/>
      </bottom>
      <diagonal/>
    </border>
    <border>
      <left style="thin">
        <color rgb="FFCCCCCC"/>
      </left>
      <right style="thick">
        <color rgb="FF0113FF"/>
      </right>
      <top/>
      <bottom/>
      <diagonal/>
    </border>
    <border>
      <left style="thin">
        <color theme="0" tint="-0.14999847407452621"/>
      </left>
      <right style="thick">
        <color rgb="FF0113FF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2" tint="-0.249977111117893"/>
      </left>
      <right style="thick">
        <color rgb="FF0113FF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ck">
        <color rgb="FF0113FF"/>
      </right>
      <top/>
      <bottom/>
      <diagonal/>
    </border>
    <border>
      <left style="thick">
        <color rgb="FF0113FF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2" tint="-0.249977111117893"/>
      </left>
      <right/>
      <top/>
      <bottom style="medium">
        <color rgb="FF5B9BD5"/>
      </bottom>
      <diagonal/>
    </border>
    <border>
      <left/>
      <right style="thick">
        <color rgb="FF0113FF"/>
      </right>
      <top/>
      <bottom style="medium">
        <color rgb="FF5B9BD5"/>
      </bottom>
      <diagonal/>
    </border>
    <border>
      <left style="thick">
        <color rgb="FF0113FF"/>
      </left>
      <right/>
      <top/>
      <bottom style="medium">
        <color rgb="FF5B9BD5"/>
      </bottom>
      <diagonal/>
    </border>
    <border>
      <left/>
      <right style="thin">
        <color theme="2"/>
      </right>
      <top/>
      <bottom style="medium">
        <color rgb="FF5B9BD5"/>
      </bottom>
      <diagonal/>
    </border>
    <border>
      <left style="thick">
        <color rgb="FF0113FF"/>
      </left>
      <right/>
      <top/>
      <bottom/>
      <diagonal/>
    </border>
    <border>
      <left style="thin">
        <color rgb="FFCCCCCC"/>
      </left>
      <right style="thick">
        <color rgb="FF0113FF"/>
      </right>
      <top style="medium">
        <color rgb="FF5B9BD5"/>
      </top>
      <bottom/>
      <diagonal/>
    </border>
    <border>
      <left style="thick">
        <color rgb="FF0113FF"/>
      </left>
      <right/>
      <top style="medium">
        <color rgb="FF5B9BD5"/>
      </top>
      <bottom style="thin">
        <color theme="0" tint="-0.14999847407452621"/>
      </bottom>
      <diagonal/>
    </border>
    <border>
      <left/>
      <right/>
      <top style="thick">
        <color rgb="FFA1B8E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2"/>
      </left>
      <right/>
      <top/>
      <bottom style="medium">
        <color rgb="FF5B9BD5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ck">
        <color rgb="FF0113FF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77">
    <xf numFmtId="0" fontId="0" fillId="0" borderId="0" xfId="0"/>
    <xf numFmtId="0" fontId="2" fillId="0" borderId="0" xfId="0" applyFont="1"/>
    <xf numFmtId="0" fontId="5" fillId="0" borderId="0" xfId="0" applyFont="1"/>
    <xf numFmtId="0" fontId="0" fillId="6" borderId="0" xfId="0" applyFill="1" applyAlignment="1">
      <alignment wrapText="1"/>
    </xf>
    <xf numFmtId="0" fontId="7" fillId="0" borderId="0" xfId="0" applyFont="1"/>
    <xf numFmtId="0" fontId="5" fillId="7" borderId="0" xfId="0" applyFont="1" applyFill="1"/>
    <xf numFmtId="0" fontId="5" fillId="3" borderId="0" xfId="0" applyFont="1" applyFill="1"/>
    <xf numFmtId="169" fontId="5" fillId="0" borderId="0" xfId="0" applyNumberFormat="1" applyFont="1"/>
    <xf numFmtId="170" fontId="5" fillId="7" borderId="0" xfId="0" applyNumberFormat="1" applyFont="1" applyFill="1"/>
    <xf numFmtId="167" fontId="5" fillId="3" borderId="0" xfId="0" applyNumberFormat="1" applyFont="1" applyFill="1" applyAlignment="1">
      <alignment horizontal="right"/>
    </xf>
    <xf numFmtId="0" fontId="0" fillId="0" borderId="7" xfId="0" applyBorder="1"/>
    <xf numFmtId="0" fontId="0" fillId="0" borderId="0" xfId="0" applyAlignment="1">
      <alignment vertical="center" wrapText="1"/>
    </xf>
    <xf numFmtId="49" fontId="12" fillId="5" borderId="7" xfId="0" applyNumberFormat="1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left" vertical="center" wrapText="1"/>
    </xf>
    <xf numFmtId="43" fontId="15" fillId="6" borderId="7" xfId="0" applyNumberFormat="1" applyFont="1" applyFill="1" applyBorder="1"/>
    <xf numFmtId="0" fontId="16" fillId="4" borderId="7" xfId="0" applyFont="1" applyFill="1" applyBorder="1" applyAlignment="1">
      <alignment horizontal="center" vertical="center" wrapText="1"/>
    </xf>
    <xf numFmtId="0" fontId="20" fillId="0" borderId="0" xfId="0" applyFont="1"/>
    <xf numFmtId="0" fontId="21" fillId="0" borderId="0" xfId="0" applyFont="1"/>
    <xf numFmtId="0" fontId="19" fillId="0" borderId="0" xfId="0" applyFont="1" applyAlignment="1">
      <alignment vertical="top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8" fillId="10" borderId="1" xfId="0" applyFont="1" applyFill="1" applyBorder="1" applyAlignment="1">
      <alignment horizontal="center" wrapText="1"/>
    </xf>
    <xf numFmtId="0" fontId="8" fillId="0" borderId="17" xfId="0" applyFont="1" applyBorder="1" applyAlignment="1">
      <alignment horizontal="center"/>
    </xf>
    <xf numFmtId="168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168" fontId="2" fillId="0" borderId="0" xfId="0" applyNumberFormat="1" applyFont="1" applyAlignment="1">
      <alignment horizontal="right"/>
    </xf>
    <xf numFmtId="168" fontId="2" fillId="12" borderId="0" xfId="0" applyNumberFormat="1" applyFont="1" applyFill="1" applyAlignment="1">
      <alignment horizontal="left"/>
    </xf>
    <xf numFmtId="0" fontId="24" fillId="0" borderId="0" xfId="0" applyFont="1" applyAlignment="1">
      <alignment horizontal="left"/>
    </xf>
    <xf numFmtId="168" fontId="5" fillId="0" borderId="0" xfId="0" applyNumberFormat="1" applyFont="1" applyAlignment="1">
      <alignment horizontal="left"/>
    </xf>
    <xf numFmtId="171" fontId="0" fillId="0" borderId="0" xfId="0" applyNumberFormat="1"/>
    <xf numFmtId="0" fontId="22" fillId="13" borderId="0" xfId="0" applyFont="1" applyFill="1"/>
    <xf numFmtId="171" fontId="22" fillId="13" borderId="0" xfId="0" applyNumberFormat="1" applyFont="1" applyFill="1"/>
    <xf numFmtId="15" fontId="0" fillId="0" borderId="7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6" fillId="4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3" fontId="0" fillId="0" borderId="0" xfId="0" applyNumberFormat="1"/>
    <xf numFmtId="0" fontId="8" fillId="0" borderId="17" xfId="0" applyFont="1" applyBorder="1" applyAlignment="1">
      <alignment horizontal="center" wrapText="1"/>
    </xf>
    <xf numFmtId="0" fontId="25" fillId="10" borderId="0" xfId="0" applyFont="1" applyFill="1"/>
    <xf numFmtId="0" fontId="0" fillId="10" borderId="0" xfId="0" applyFill="1"/>
    <xf numFmtId="171" fontId="25" fillId="10" borderId="0" xfId="0" applyNumberFormat="1" applyFont="1" applyFill="1"/>
    <xf numFmtId="0" fontId="8" fillId="14" borderId="17" xfId="0" applyFont="1" applyFill="1" applyBorder="1" applyAlignment="1">
      <alignment horizontal="center"/>
    </xf>
    <xf numFmtId="1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left"/>
    </xf>
    <xf numFmtId="0" fontId="0" fillId="16" borderId="18" xfId="0" applyFill="1" applyBorder="1"/>
    <xf numFmtId="0" fontId="25" fillId="15" borderId="8" xfId="0" applyFont="1" applyFill="1" applyBorder="1"/>
    <xf numFmtId="0" fontId="25" fillId="15" borderId="20" xfId="0" applyFont="1" applyFill="1" applyBorder="1"/>
    <xf numFmtId="0" fontId="26" fillId="0" borderId="0" xfId="0" applyFont="1"/>
    <xf numFmtId="0" fontId="0" fillId="17" borderId="19" xfId="0" applyFill="1" applyBorder="1"/>
    <xf numFmtId="43" fontId="17" fillId="19" borderId="7" xfId="0" applyNumberFormat="1" applyFont="1" applyFill="1" applyBorder="1"/>
    <xf numFmtId="43" fontId="14" fillId="19" borderId="7" xfId="0" applyNumberFormat="1" applyFont="1" applyFill="1" applyBorder="1"/>
    <xf numFmtId="9" fontId="14" fillId="19" borderId="7" xfId="2" applyFont="1" applyFill="1" applyBorder="1"/>
    <xf numFmtId="49" fontId="12" fillId="5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7" fillId="20" borderId="8" xfId="0" applyFont="1" applyFill="1" applyBorder="1"/>
    <xf numFmtId="2" fontId="0" fillId="0" borderId="0" xfId="0" applyNumberFormat="1"/>
    <xf numFmtId="9" fontId="0" fillId="0" borderId="0" xfId="2" applyFont="1"/>
    <xf numFmtId="0" fontId="25" fillId="0" borderId="0" xfId="0" applyFont="1"/>
    <xf numFmtId="1" fontId="21" fillId="21" borderId="0" xfId="0" applyNumberFormat="1" applyFont="1" applyFill="1"/>
    <xf numFmtId="168" fontId="0" fillId="0" borderId="0" xfId="0" applyNumberFormat="1"/>
    <xf numFmtId="1" fontId="0" fillId="0" borderId="0" xfId="0" applyNumberFormat="1"/>
    <xf numFmtId="173" fontId="5" fillId="0" borderId="0" xfId="0" applyNumberFormat="1" applyFont="1"/>
    <xf numFmtId="0" fontId="7" fillId="22" borderId="0" xfId="0" applyFont="1" applyFill="1"/>
    <xf numFmtId="167" fontId="7" fillId="22" borderId="0" xfId="0" applyNumberFormat="1" applyFont="1" applyFill="1" applyAlignment="1">
      <alignment horizontal="right"/>
    </xf>
    <xf numFmtId="3" fontId="0" fillId="0" borderId="0" xfId="0" applyNumberFormat="1"/>
    <xf numFmtId="0" fontId="31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vertical="center"/>
    </xf>
    <xf numFmtId="43" fontId="0" fillId="0" borderId="0" xfId="3" applyFont="1"/>
    <xf numFmtId="174" fontId="29" fillId="0" borderId="0" xfId="3" applyNumberFormat="1" applyFont="1" applyAlignment="1">
      <alignment vertical="center"/>
    </xf>
    <xf numFmtId="0" fontId="5" fillId="0" borderId="0" xfId="0" applyFont="1" applyAlignment="1">
      <alignment horizontal="left"/>
    </xf>
    <xf numFmtId="170" fontId="0" fillId="7" borderId="0" xfId="0" applyNumberFormat="1" applyFill="1"/>
    <xf numFmtId="0" fontId="5" fillId="0" borderId="0" xfId="0" applyFont="1" applyAlignment="1">
      <alignment horizontal="center"/>
    </xf>
    <xf numFmtId="43" fontId="14" fillId="18" borderId="7" xfId="0" applyNumberFormat="1" applyFont="1" applyFill="1" applyBorder="1"/>
    <xf numFmtId="166" fontId="32" fillId="18" borderId="7" xfId="1" applyNumberFormat="1" applyFont="1" applyFill="1" applyBorder="1" applyAlignment="1">
      <alignment horizontal="right"/>
    </xf>
    <xf numFmtId="175" fontId="5" fillId="0" borderId="0" xfId="0" applyNumberFormat="1" applyFont="1"/>
    <xf numFmtId="0" fontId="31" fillId="14" borderId="0" xfId="0" applyFont="1" applyFill="1" applyAlignment="1">
      <alignment horizontal="center" vertical="center" wrapText="1"/>
    </xf>
    <xf numFmtId="49" fontId="5" fillId="23" borderId="0" xfId="0" applyNumberFormat="1" applyFont="1" applyFill="1" applyAlignment="1">
      <alignment vertical="center"/>
    </xf>
    <xf numFmtId="169" fontId="5" fillId="23" borderId="0" xfId="0" applyNumberFormat="1" applyFont="1" applyFill="1"/>
    <xf numFmtId="49" fontId="33" fillId="23" borderId="0" xfId="0" applyNumberFormat="1" applyFont="1" applyFill="1" applyAlignment="1">
      <alignment horizontal="center" vertical="center"/>
    </xf>
    <xf numFmtId="49" fontId="5" fillId="24" borderId="0" xfId="0" applyNumberFormat="1" applyFont="1" applyFill="1" applyAlignment="1">
      <alignment vertical="center"/>
    </xf>
    <xf numFmtId="169" fontId="5" fillId="24" borderId="0" xfId="0" applyNumberFormat="1" applyFont="1" applyFill="1"/>
    <xf numFmtId="49" fontId="33" fillId="24" borderId="0" xfId="0" applyNumberFormat="1" applyFont="1" applyFill="1" applyAlignment="1">
      <alignment horizontal="center" vertical="center"/>
    </xf>
    <xf numFmtId="49" fontId="18" fillId="6" borderId="12" xfId="0" applyNumberFormat="1" applyFont="1" applyFill="1" applyBorder="1" applyAlignment="1">
      <alignment horizontal="center"/>
    </xf>
    <xf numFmtId="0" fontId="34" fillId="6" borderId="22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left"/>
    </xf>
    <xf numFmtId="39" fontId="5" fillId="17" borderId="23" xfId="0" applyNumberFormat="1" applyFont="1" applyFill="1" applyBorder="1"/>
    <xf numFmtId="4" fontId="5" fillId="0" borderId="23" xfId="0" applyNumberFormat="1" applyFont="1" applyBorder="1"/>
    <xf numFmtId="167" fontId="10" fillId="0" borderId="23" xfId="0" applyNumberFormat="1" applyFont="1" applyBorder="1"/>
    <xf numFmtId="9" fontId="11" fillId="0" borderId="23" xfId="2" applyFont="1" applyBorder="1"/>
    <xf numFmtId="0" fontId="0" fillId="0" borderId="23" xfId="0" applyBorder="1"/>
    <xf numFmtId="0" fontId="37" fillId="0" borderId="0" xfId="0" applyFont="1"/>
    <xf numFmtId="9" fontId="1" fillId="0" borderId="23" xfId="2" applyFont="1" applyBorder="1"/>
    <xf numFmtId="174" fontId="0" fillId="0" borderId="23" xfId="0" applyNumberFormat="1" applyBorder="1"/>
    <xf numFmtId="0" fontId="3" fillId="26" borderId="2" xfId="0" applyFont="1" applyFill="1" applyBorder="1" applyAlignment="1">
      <alignment horizontal="center"/>
    </xf>
    <xf numFmtId="0" fontId="38" fillId="4" borderId="7" xfId="0" applyFont="1" applyFill="1" applyBorder="1" applyAlignment="1">
      <alignment horizontal="left" vertical="center" wrapText="1"/>
    </xf>
    <xf numFmtId="49" fontId="12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43" fontId="15" fillId="0" borderId="13" xfId="0" applyNumberFormat="1" applyFont="1" applyBorder="1"/>
    <xf numFmtId="43" fontId="15" fillId="0" borderId="0" xfId="0" applyNumberFormat="1" applyFont="1"/>
    <xf numFmtId="0" fontId="13" fillId="0" borderId="5" xfId="0" applyFont="1" applyBorder="1"/>
    <xf numFmtId="0" fontId="0" fillId="0" borderId="32" xfId="0" applyBorder="1"/>
    <xf numFmtId="43" fontId="0" fillId="0" borderId="32" xfId="0" applyNumberFormat="1" applyBorder="1"/>
    <xf numFmtId="43" fontId="14" fillId="18" borderId="36" xfId="0" applyNumberFormat="1" applyFont="1" applyFill="1" applyBorder="1"/>
    <xf numFmtId="43" fontId="14" fillId="18" borderId="37" xfId="0" applyNumberFormat="1" applyFont="1" applyFill="1" applyBorder="1"/>
    <xf numFmtId="0" fontId="4" fillId="29" borderId="34" xfId="0" applyFont="1" applyFill="1" applyBorder="1" applyAlignment="1">
      <alignment horizontal="center" vertical="center" wrapText="1"/>
    </xf>
    <xf numFmtId="0" fontId="4" fillId="29" borderId="38" xfId="0" applyFont="1" applyFill="1" applyBorder="1" applyAlignment="1">
      <alignment horizontal="center" vertical="center" wrapText="1"/>
    </xf>
    <xf numFmtId="0" fontId="4" fillId="29" borderId="35" xfId="0" applyFont="1" applyFill="1" applyBorder="1" applyAlignment="1">
      <alignment horizontal="center" vertical="center" wrapText="1"/>
    </xf>
    <xf numFmtId="0" fontId="23" fillId="11" borderId="0" xfId="0" applyFont="1" applyFill="1" applyAlignment="1">
      <alignment horizontal="center"/>
    </xf>
    <xf numFmtId="15" fontId="0" fillId="0" borderId="7" xfId="0" applyNumberFormat="1" applyBorder="1"/>
    <xf numFmtId="0" fontId="34" fillId="25" borderId="22" xfId="0" applyFont="1" applyFill="1" applyBorder="1" applyAlignment="1">
      <alignment horizontal="center" vertical="center" wrapText="1"/>
    </xf>
    <xf numFmtId="9" fontId="11" fillId="25" borderId="23" xfId="2" applyFont="1" applyFill="1" applyBorder="1"/>
    <xf numFmtId="0" fontId="0" fillId="25" borderId="23" xfId="0" applyFill="1" applyBorder="1"/>
    <xf numFmtId="0" fontId="22" fillId="25" borderId="0" xfId="0" applyFont="1" applyFill="1" applyAlignment="1">
      <alignment horizontal="left"/>
    </xf>
    <xf numFmtId="171" fontId="22" fillId="25" borderId="0" xfId="0" applyNumberFormat="1" applyFont="1" applyFill="1"/>
    <xf numFmtId="0" fontId="7" fillId="30" borderId="0" xfId="0" applyFont="1" applyFill="1" applyAlignment="1">
      <alignment horizontal="left"/>
    </xf>
    <xf numFmtId="167" fontId="5" fillId="30" borderId="0" xfId="0" applyNumberFormat="1" applyFont="1" applyFill="1" applyAlignment="1">
      <alignment horizontal="right"/>
    </xf>
    <xf numFmtId="0" fontId="7" fillId="31" borderId="0" xfId="0" applyFont="1" applyFill="1" applyAlignment="1">
      <alignment horizontal="left"/>
    </xf>
    <xf numFmtId="170" fontId="0" fillId="31" borderId="0" xfId="0" applyNumberFormat="1" applyFill="1"/>
    <xf numFmtId="170" fontId="25" fillId="31" borderId="0" xfId="0" applyNumberFormat="1" applyFont="1" applyFill="1"/>
    <xf numFmtId="167" fontId="7" fillId="30" borderId="0" xfId="0" applyNumberFormat="1" applyFont="1" applyFill="1" applyAlignment="1">
      <alignment horizontal="right"/>
    </xf>
    <xf numFmtId="0" fontId="7" fillId="32" borderId="0" xfId="0" applyFont="1" applyFill="1" applyAlignment="1">
      <alignment horizontal="left"/>
    </xf>
    <xf numFmtId="167" fontId="5" fillId="32" borderId="0" xfId="0" applyNumberFormat="1" applyFont="1" applyFill="1" applyAlignment="1">
      <alignment horizontal="right"/>
    </xf>
    <xf numFmtId="2" fontId="7" fillId="32" borderId="0" xfId="0" applyNumberFormat="1" applyFont="1" applyFill="1" applyAlignment="1">
      <alignment horizontal="right"/>
    </xf>
    <xf numFmtId="0" fontId="8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168" fontId="8" fillId="0" borderId="0" xfId="0" applyNumberFormat="1" applyFont="1" applyAlignment="1">
      <alignment horizontal="center"/>
    </xf>
    <xf numFmtId="168" fontId="8" fillId="8" borderId="0" xfId="0" applyNumberFormat="1" applyFont="1" applyFill="1" applyAlignment="1">
      <alignment horizontal="center"/>
    </xf>
    <xf numFmtId="0" fontId="0" fillId="11" borderId="0" xfId="0" applyFill="1"/>
    <xf numFmtId="0" fontId="0" fillId="23" borderId="0" xfId="0" applyFill="1"/>
    <xf numFmtId="9" fontId="5" fillId="0" borderId="23" xfId="2" applyFont="1" applyBorder="1"/>
    <xf numFmtId="0" fontId="39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0" fillId="0" borderId="0" xfId="0" applyFont="1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41" fillId="18" borderId="0" xfId="0" applyFont="1" applyFill="1" applyAlignment="1">
      <alignment horizontal="left" vertical="center" wrapText="1"/>
    </xf>
    <xf numFmtId="0" fontId="2" fillId="18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165" fontId="5" fillId="28" borderId="0" xfId="0" applyNumberFormat="1" applyFont="1" applyFill="1" applyAlignment="1">
      <alignment horizontal="left" vertical="center"/>
    </xf>
    <xf numFmtId="0" fontId="0" fillId="0" borderId="42" xfId="0" applyBorder="1"/>
    <xf numFmtId="0" fontId="0" fillId="25" borderId="0" xfId="0" applyFill="1" applyAlignment="1">
      <alignment horizontal="center"/>
    </xf>
    <xf numFmtId="0" fontId="0" fillId="0" borderId="44" xfId="0" applyBorder="1"/>
    <xf numFmtId="0" fontId="34" fillId="6" borderId="45" xfId="0" applyFont="1" applyFill="1" applyBorder="1" applyAlignment="1">
      <alignment horizontal="center" vertical="center" wrapText="1"/>
    </xf>
    <xf numFmtId="39" fontId="5" fillId="17" borderId="47" xfId="0" applyNumberFormat="1" applyFont="1" applyFill="1" applyBorder="1"/>
    <xf numFmtId="0" fontId="0" fillId="0" borderId="47" xfId="0" applyBorder="1"/>
    <xf numFmtId="39" fontId="5" fillId="17" borderId="44" xfId="0" applyNumberFormat="1" applyFont="1" applyFill="1" applyBorder="1"/>
    <xf numFmtId="0" fontId="3" fillId="26" borderId="48" xfId="0" applyFont="1" applyFill="1" applyBorder="1" applyAlignment="1">
      <alignment horizontal="center"/>
    </xf>
    <xf numFmtId="0" fontId="36" fillId="6" borderId="45" xfId="0" applyFont="1" applyFill="1" applyBorder="1" applyAlignment="1">
      <alignment horizontal="center" vertical="center" wrapText="1"/>
    </xf>
    <xf numFmtId="17" fontId="6" fillId="0" borderId="47" xfId="0" applyNumberFormat="1" applyFont="1" applyBorder="1"/>
    <xf numFmtId="0" fontId="0" fillId="17" borderId="23" xfId="0" applyFill="1" applyBorder="1"/>
    <xf numFmtId="0" fontId="0" fillId="17" borderId="47" xfId="0" applyFill="1" applyBorder="1"/>
    <xf numFmtId="0" fontId="0" fillId="17" borderId="50" xfId="0" applyFill="1" applyBorder="1"/>
    <xf numFmtId="3" fontId="9" fillId="17" borderId="23" xfId="0" applyNumberFormat="1" applyFont="1" applyFill="1" applyBorder="1"/>
    <xf numFmtId="9" fontId="5" fillId="17" borderId="23" xfId="2" applyFont="1" applyFill="1" applyBorder="1"/>
    <xf numFmtId="0" fontId="0" fillId="17" borderId="44" xfId="0" applyFill="1" applyBorder="1"/>
    <xf numFmtId="167" fontId="10" fillId="0" borderId="44" xfId="0" applyNumberFormat="1" applyFont="1" applyBorder="1"/>
    <xf numFmtId="4" fontId="0" fillId="0" borderId="47" xfId="0" applyNumberFormat="1" applyBorder="1"/>
    <xf numFmtId="1" fontId="30" fillId="0" borderId="44" xfId="2" applyNumberFormat="1" applyFont="1" applyBorder="1"/>
    <xf numFmtId="9" fontId="10" fillId="0" borderId="47" xfId="2" applyFont="1" applyBorder="1"/>
    <xf numFmtId="9" fontId="11" fillId="0" borderId="47" xfId="2" applyFont="1" applyBorder="1"/>
    <xf numFmtId="0" fontId="23" fillId="0" borderId="0" xfId="0" applyFont="1"/>
    <xf numFmtId="0" fontId="23" fillId="25" borderId="0" xfId="0" applyFont="1" applyFill="1" applyAlignment="1">
      <alignment horizontal="center"/>
    </xf>
    <xf numFmtId="168" fontId="2" fillId="21" borderId="58" xfId="0" applyNumberFormat="1" applyFont="1" applyFill="1" applyBorder="1" applyAlignment="1">
      <alignment horizontal="right" vertical="center"/>
    </xf>
    <xf numFmtId="172" fontId="0" fillId="21" borderId="58" xfId="0" applyNumberFormat="1" applyFill="1" applyBorder="1" applyAlignment="1">
      <alignment horizontal="center"/>
    </xf>
    <xf numFmtId="0" fontId="0" fillId="23" borderId="0" xfId="0" applyFill="1" applyAlignment="1">
      <alignment horizontal="center"/>
    </xf>
    <xf numFmtId="0" fontId="0" fillId="23" borderId="55" xfId="0" applyFill="1" applyBorder="1" applyAlignment="1">
      <alignment horizontal="center"/>
    </xf>
    <xf numFmtId="0" fontId="0" fillId="24" borderId="0" xfId="0" applyFill="1" applyAlignment="1">
      <alignment horizontal="center"/>
    </xf>
    <xf numFmtId="0" fontId="0" fillId="24" borderId="55" xfId="0" applyFill="1" applyBorder="1" applyAlignment="1">
      <alignment horizontal="center"/>
    </xf>
    <xf numFmtId="168" fontId="42" fillId="21" borderId="58" xfId="0" applyNumberFormat="1" applyFont="1" applyFill="1" applyBorder="1" applyAlignment="1">
      <alignment horizontal="right" vertical="center"/>
    </xf>
    <xf numFmtId="0" fontId="8" fillId="10" borderId="0" xfId="0" applyFont="1" applyFill="1" applyAlignment="1">
      <alignment horizontal="center" vertical="center" wrapText="1"/>
    </xf>
    <xf numFmtId="0" fontId="8" fillId="14" borderId="17" xfId="0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 vertical="center" wrapText="1"/>
    </xf>
    <xf numFmtId="174" fontId="23" fillId="25" borderId="0" xfId="3" applyNumberFormat="1" applyFont="1" applyFill="1" applyAlignment="1">
      <alignment vertical="center"/>
    </xf>
    <xf numFmtId="0" fontId="5" fillId="21" borderId="0" xfId="0" applyFont="1" applyFill="1" applyAlignment="1">
      <alignment horizontal="center"/>
    </xf>
    <xf numFmtId="0" fontId="5" fillId="21" borderId="59" xfId="0" applyFont="1" applyFill="1" applyBorder="1" applyAlignment="1">
      <alignment horizontal="center"/>
    </xf>
    <xf numFmtId="0" fontId="43" fillId="21" borderId="60" xfId="0" applyFont="1" applyFill="1" applyBorder="1" applyAlignment="1">
      <alignment horizontal="center"/>
    </xf>
    <xf numFmtId="0" fontId="5" fillId="21" borderId="61" xfId="0" applyFont="1" applyFill="1" applyBorder="1" applyAlignment="1">
      <alignment horizontal="center"/>
    </xf>
    <xf numFmtId="0" fontId="5" fillId="21" borderId="60" xfId="0" applyFont="1" applyFill="1" applyBorder="1" applyAlignment="1">
      <alignment horizontal="center"/>
    </xf>
    <xf numFmtId="174" fontId="5" fillId="0" borderId="23" xfId="3" applyNumberFormat="1" applyFont="1" applyBorder="1"/>
    <xf numFmtId="4" fontId="0" fillId="0" borderId="33" xfId="0" applyNumberFormat="1" applyBorder="1"/>
    <xf numFmtId="0" fontId="0" fillId="0" borderId="33" xfId="0" applyBorder="1"/>
    <xf numFmtId="0" fontId="0" fillId="0" borderId="0" xfId="0" applyAlignment="1">
      <alignment wrapText="1"/>
    </xf>
    <xf numFmtId="0" fontId="4" fillId="6" borderId="49" xfId="0" applyFont="1" applyFill="1" applyBorder="1" applyAlignment="1">
      <alignment horizontal="center" wrapText="1"/>
    </xf>
    <xf numFmtId="49" fontId="12" fillId="6" borderId="43" xfId="0" applyNumberFormat="1" applyFont="1" applyFill="1" applyBorder="1" applyAlignment="1">
      <alignment horizontal="center" vertical="center"/>
    </xf>
    <xf numFmtId="49" fontId="12" fillId="6" borderId="16" xfId="0" applyNumberFormat="1" applyFont="1" applyFill="1" applyBorder="1" applyAlignment="1">
      <alignment horizontal="center" vertical="center"/>
    </xf>
    <xf numFmtId="49" fontId="12" fillId="6" borderId="46" xfId="0" applyNumberFormat="1" applyFont="1" applyFill="1" applyBorder="1" applyAlignment="1">
      <alignment horizontal="center" vertical="center"/>
    </xf>
    <xf numFmtId="49" fontId="12" fillId="6" borderId="0" xfId="0" applyNumberFormat="1" applyFont="1" applyFill="1" applyAlignment="1">
      <alignment horizontal="center" vertical="center"/>
    </xf>
    <xf numFmtId="49" fontId="12" fillId="6" borderId="56" xfId="0" applyNumberFormat="1" applyFont="1" applyFill="1" applyBorder="1" applyAlignment="1">
      <alignment horizontal="center" vertical="center"/>
    </xf>
    <xf numFmtId="49" fontId="12" fillId="6" borderId="41" xfId="0" applyNumberFormat="1" applyFont="1" applyFill="1" applyBorder="1" applyAlignment="1">
      <alignment horizontal="center" vertical="center"/>
    </xf>
    <xf numFmtId="49" fontId="12" fillId="6" borderId="57" xfId="0" applyNumberFormat="1" applyFont="1" applyFill="1" applyBorder="1" applyAlignment="1">
      <alignment horizontal="center" vertical="center"/>
    </xf>
    <xf numFmtId="176" fontId="5" fillId="23" borderId="0" xfId="0" applyNumberFormat="1" applyFont="1" applyFill="1"/>
    <xf numFmtId="176" fontId="5" fillId="24" borderId="0" xfId="0" applyNumberFormat="1" applyFont="1" applyFill="1"/>
    <xf numFmtId="169" fontId="5" fillId="24" borderId="63" xfId="0" applyNumberFormat="1" applyFont="1" applyFill="1" applyBorder="1"/>
    <xf numFmtId="169" fontId="5" fillId="24" borderId="64" xfId="0" applyNumberFormat="1" applyFont="1" applyFill="1" applyBorder="1"/>
    <xf numFmtId="0" fontId="7" fillId="0" borderId="0" xfId="0" applyFont="1" applyAlignment="1">
      <alignment horizontal="left"/>
    </xf>
    <xf numFmtId="168" fontId="2" fillId="21" borderId="0" xfId="0" applyNumberFormat="1" applyFont="1" applyFill="1" applyAlignment="1">
      <alignment horizontal="center" vertical="center"/>
    </xf>
    <xf numFmtId="174" fontId="23" fillId="25" borderId="0" xfId="0" applyNumberFormat="1" applyFont="1" applyFill="1" applyAlignment="1">
      <alignment vertical="center"/>
    </xf>
    <xf numFmtId="43" fontId="0" fillId="0" borderId="7" xfId="3" applyFont="1" applyBorder="1"/>
    <xf numFmtId="4" fontId="0" fillId="0" borderId="0" xfId="0" applyNumberFormat="1"/>
    <xf numFmtId="43" fontId="5" fillId="17" borderId="23" xfId="3" applyFont="1" applyFill="1" applyBorder="1"/>
    <xf numFmtId="43" fontId="5" fillId="0" borderId="23" xfId="3" applyFont="1" applyBorder="1"/>
    <xf numFmtId="43" fontId="30" fillId="0" borderId="44" xfId="3" applyFont="1" applyBorder="1"/>
    <xf numFmtId="3" fontId="2" fillId="0" borderId="0" xfId="0" applyNumberFormat="1" applyFont="1"/>
    <xf numFmtId="168" fontId="42" fillId="21" borderId="58" xfId="3" applyNumberFormat="1" applyFont="1" applyFill="1" applyBorder="1" applyAlignment="1">
      <alignment horizontal="right" vertical="center"/>
    </xf>
    <xf numFmtId="0" fontId="5" fillId="33" borderId="0" xfId="0" applyFont="1" applyFill="1"/>
    <xf numFmtId="0" fontId="27" fillId="25" borderId="0" xfId="0" applyFont="1" applyFill="1" applyAlignment="1">
      <alignment horizontal="center"/>
    </xf>
    <xf numFmtId="174" fontId="0" fillId="0" borderId="0" xfId="0" applyNumberFormat="1"/>
    <xf numFmtId="0" fontId="43" fillId="21" borderId="0" xfId="0" applyFont="1" applyFill="1" applyAlignment="1">
      <alignment horizontal="center"/>
    </xf>
    <xf numFmtId="49" fontId="7" fillId="23" borderId="65" xfId="0" applyNumberFormat="1" applyFont="1" applyFill="1" applyBorder="1" applyAlignment="1">
      <alignment vertical="center"/>
    </xf>
    <xf numFmtId="49" fontId="7" fillId="24" borderId="65" xfId="0" applyNumberFormat="1" applyFont="1" applyFill="1" applyBorder="1" applyAlignment="1">
      <alignment vertical="center"/>
    </xf>
    <xf numFmtId="0" fontId="0" fillId="24" borderId="0" xfId="0" applyFill="1" applyAlignment="1">
      <alignment horizontal="left"/>
    </xf>
    <xf numFmtId="0" fontId="43" fillId="21" borderId="60" xfId="0" applyFont="1" applyFill="1" applyBorder="1" applyAlignment="1">
      <alignment horizontal="center" wrapText="1"/>
    </xf>
    <xf numFmtId="39" fontId="0" fillId="17" borderId="23" xfId="0" applyNumberFormat="1" applyFill="1" applyBorder="1"/>
    <xf numFmtId="177" fontId="1" fillId="0" borderId="23" xfId="2" applyNumberFormat="1" applyFont="1" applyBorder="1"/>
    <xf numFmtId="171" fontId="0" fillId="0" borderId="42" xfId="0" applyNumberFormat="1" applyBorder="1"/>
    <xf numFmtId="0" fontId="0" fillId="0" borderId="0" xfId="0" quotePrefix="1"/>
    <xf numFmtId="0" fontId="0" fillId="34" borderId="0" xfId="0" applyFill="1"/>
    <xf numFmtId="174" fontId="0" fillId="35" borderId="23" xfId="0" applyNumberFormat="1" applyFill="1" applyBorder="1"/>
    <xf numFmtId="9" fontId="5" fillId="35" borderId="23" xfId="2" applyFont="1" applyFill="1" applyBorder="1"/>
    <xf numFmtId="43" fontId="5" fillId="35" borderId="23" xfId="3" applyFont="1" applyFill="1" applyBorder="1"/>
    <xf numFmtId="3" fontId="9" fillId="35" borderId="23" xfId="0" applyNumberFormat="1" applyFont="1" applyFill="1" applyBorder="1"/>
    <xf numFmtId="167" fontId="10" fillId="0" borderId="42" xfId="0" applyNumberFormat="1" applyFont="1" applyBorder="1"/>
    <xf numFmtId="9" fontId="11" fillId="0" borderId="66" xfId="2" applyFont="1" applyBorder="1"/>
    <xf numFmtId="0" fontId="0" fillId="25" borderId="42" xfId="0" applyFill="1" applyBorder="1"/>
    <xf numFmtId="167" fontId="10" fillId="0" borderId="67" xfId="0" applyNumberFormat="1" applyFont="1" applyBorder="1"/>
    <xf numFmtId="9" fontId="10" fillId="0" borderId="23" xfId="2" applyFont="1" applyBorder="1"/>
    <xf numFmtId="0" fontId="2" fillId="0" borderId="0" xfId="0" applyFont="1" applyAlignment="1">
      <alignment horizontal="center" vertical="center"/>
    </xf>
    <xf numFmtId="14" fontId="5" fillId="28" borderId="0" xfId="0" applyNumberFormat="1" applyFont="1" applyFill="1" applyAlignment="1">
      <alignment horizontal="left" vertical="center"/>
    </xf>
    <xf numFmtId="0" fontId="2" fillId="18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26" borderId="15" xfId="0" applyFont="1" applyFill="1" applyBorder="1" applyAlignment="1">
      <alignment horizontal="center"/>
    </xf>
    <xf numFmtId="0" fontId="3" fillId="26" borderId="2" xfId="0" applyFont="1" applyFill="1" applyBorder="1" applyAlignment="1">
      <alignment horizontal="center"/>
    </xf>
    <xf numFmtId="0" fontId="27" fillId="25" borderId="24" xfId="0" applyFont="1" applyFill="1" applyBorder="1" applyAlignment="1">
      <alignment horizontal="center"/>
    </xf>
    <xf numFmtId="165" fontId="5" fillId="28" borderId="0" xfId="0" applyNumberFormat="1" applyFont="1" applyFill="1" applyAlignment="1">
      <alignment horizontal="left" vertical="center"/>
    </xf>
    <xf numFmtId="0" fontId="22" fillId="25" borderId="51" xfId="0" applyFont="1" applyFill="1" applyBorder="1" applyAlignment="1">
      <alignment horizontal="center"/>
    </xf>
    <xf numFmtId="0" fontId="22" fillId="25" borderId="24" xfId="0" applyFont="1" applyFill="1" applyBorder="1" applyAlignment="1">
      <alignment horizontal="center"/>
    </xf>
    <xf numFmtId="0" fontId="22" fillId="25" borderId="52" xfId="0" applyFont="1" applyFill="1" applyBorder="1" applyAlignment="1">
      <alignment horizontal="center"/>
    </xf>
    <xf numFmtId="0" fontId="22" fillId="25" borderId="53" xfId="0" applyFont="1" applyFill="1" applyBorder="1" applyAlignment="1">
      <alignment horizontal="center"/>
    </xf>
    <xf numFmtId="0" fontId="22" fillId="25" borderId="54" xfId="0" applyFont="1" applyFill="1" applyBorder="1" applyAlignment="1">
      <alignment horizontal="center"/>
    </xf>
    <xf numFmtId="0" fontId="3" fillId="26" borderId="62" xfId="0" applyFont="1" applyFill="1" applyBorder="1" applyAlignment="1">
      <alignment horizontal="center"/>
    </xf>
    <xf numFmtId="0" fontId="3" fillId="26" borderId="24" xfId="0" applyFont="1" applyFill="1" applyBorder="1" applyAlignment="1">
      <alignment horizontal="center"/>
    </xf>
    <xf numFmtId="0" fontId="3" fillId="26" borderId="3" xfId="0" applyFont="1" applyFill="1" applyBorder="1" applyAlignment="1">
      <alignment horizontal="center"/>
    </xf>
    <xf numFmtId="0" fontId="3" fillId="9" borderId="0" xfId="0" applyFont="1" applyFill="1" applyAlignment="1">
      <alignment horizontal="left" vertical="center" wrapText="1"/>
    </xf>
    <xf numFmtId="0" fontId="3" fillId="9" borderId="14" xfId="0" applyFont="1" applyFill="1" applyBorder="1" applyAlignment="1">
      <alignment horizontal="left" vertical="center" wrapText="1"/>
    </xf>
    <xf numFmtId="0" fontId="3" fillId="9" borderId="33" xfId="0" applyFont="1" applyFill="1" applyBorder="1" applyAlignment="1">
      <alignment horizontal="left" vertical="center" wrapText="1"/>
    </xf>
    <xf numFmtId="0" fontId="3" fillId="9" borderId="25" xfId="0" applyFont="1" applyFill="1" applyBorder="1" applyAlignment="1">
      <alignment horizontal="left" vertical="center" wrapText="1"/>
    </xf>
    <xf numFmtId="0" fontId="4" fillId="29" borderId="10" xfId="0" applyFont="1" applyFill="1" applyBorder="1" applyAlignment="1">
      <alignment horizontal="center" vertical="center" wrapText="1"/>
    </xf>
    <xf numFmtId="0" fontId="4" fillId="29" borderId="0" xfId="0" applyFont="1" applyFill="1" applyAlignment="1">
      <alignment horizontal="center" vertical="center" wrapText="1"/>
    </xf>
    <xf numFmtId="0" fontId="3" fillId="9" borderId="30" xfId="0" applyFont="1" applyFill="1" applyBorder="1" applyAlignment="1">
      <alignment horizontal="left" vertical="center" wrapText="1"/>
    </xf>
    <xf numFmtId="0" fontId="3" fillId="9" borderId="31" xfId="0" applyFont="1" applyFill="1" applyBorder="1" applyAlignment="1">
      <alignment horizontal="left" vertical="center" wrapText="1"/>
    </xf>
    <xf numFmtId="0" fontId="3" fillId="9" borderId="28" xfId="0" applyFont="1" applyFill="1" applyBorder="1" applyAlignment="1">
      <alignment horizontal="left" vertical="center" wrapText="1"/>
    </xf>
    <xf numFmtId="0" fontId="3" fillId="9" borderId="29" xfId="0" applyFont="1" applyFill="1" applyBorder="1" applyAlignment="1">
      <alignment horizontal="left" vertical="center" wrapText="1"/>
    </xf>
    <xf numFmtId="0" fontId="4" fillId="29" borderId="4" xfId="0" applyFont="1" applyFill="1" applyBorder="1" applyAlignment="1">
      <alignment horizontal="center" vertical="center" wrapText="1"/>
    </xf>
    <xf numFmtId="0" fontId="4" fillId="29" borderId="5" xfId="0" applyFont="1" applyFill="1" applyBorder="1" applyAlignment="1">
      <alignment horizontal="center" vertical="center" wrapText="1"/>
    </xf>
    <xf numFmtId="0" fontId="4" fillId="29" borderId="6" xfId="0" applyFont="1" applyFill="1" applyBorder="1" applyAlignment="1">
      <alignment horizontal="center" vertical="center" wrapText="1"/>
    </xf>
    <xf numFmtId="49" fontId="18" fillId="6" borderId="9" xfId="0" applyNumberFormat="1" applyFont="1" applyFill="1" applyBorder="1" applyAlignment="1">
      <alignment horizontal="center"/>
    </xf>
    <xf numFmtId="49" fontId="18" fillId="6" borderId="11" xfId="0" applyNumberFormat="1" applyFont="1" applyFill="1" applyBorder="1" applyAlignment="1">
      <alignment horizontal="center"/>
    </xf>
    <xf numFmtId="49" fontId="18" fillId="6" borderId="12" xfId="0" applyNumberFormat="1" applyFont="1" applyFill="1" applyBorder="1" applyAlignment="1">
      <alignment horizontal="center"/>
    </xf>
    <xf numFmtId="0" fontId="3" fillId="9" borderId="27" xfId="0" applyFont="1" applyFill="1" applyBorder="1" applyAlignment="1">
      <alignment horizontal="left" vertical="center" wrapText="1"/>
    </xf>
    <xf numFmtId="0" fontId="3" fillId="9" borderId="26" xfId="0" applyFont="1" applyFill="1" applyBorder="1" applyAlignment="1">
      <alignment horizontal="left" vertical="center" wrapText="1"/>
    </xf>
    <xf numFmtId="0" fontId="16" fillId="27" borderId="4" xfId="0" applyFont="1" applyFill="1" applyBorder="1" applyAlignment="1">
      <alignment horizontal="left" vertical="center" wrapText="1"/>
    </xf>
    <xf numFmtId="0" fontId="16" fillId="27" borderId="6" xfId="0" applyFont="1" applyFill="1" applyBorder="1" applyAlignment="1">
      <alignment horizontal="left" vertical="center" wrapText="1"/>
    </xf>
    <xf numFmtId="165" fontId="5" fillId="28" borderId="4" xfId="0" applyNumberFormat="1" applyFont="1" applyFill="1" applyBorder="1" applyAlignment="1">
      <alignment horizontal="left"/>
    </xf>
    <xf numFmtId="165" fontId="5" fillId="28" borderId="6" xfId="0" applyNumberFormat="1" applyFont="1" applyFill="1" applyBorder="1" applyAlignment="1">
      <alignment horizontal="left"/>
    </xf>
    <xf numFmtId="9" fontId="5" fillId="28" borderId="4" xfId="2" applyFont="1" applyFill="1" applyBorder="1" applyAlignment="1">
      <alignment horizontal="left"/>
    </xf>
    <xf numFmtId="9" fontId="5" fillId="28" borderId="6" xfId="2" applyFont="1" applyFill="1" applyBorder="1" applyAlignment="1">
      <alignment horizontal="left"/>
    </xf>
    <xf numFmtId="0" fontId="3" fillId="9" borderId="39" xfId="0" applyFont="1" applyFill="1" applyBorder="1" applyAlignment="1">
      <alignment horizontal="left" vertical="center" wrapText="1"/>
    </xf>
    <xf numFmtId="0" fontId="3" fillId="9" borderId="40" xfId="0" applyFont="1" applyFill="1" applyBorder="1" applyAlignment="1">
      <alignment horizontal="left" vertical="center" wrapText="1"/>
    </xf>
    <xf numFmtId="0" fontId="23" fillId="25" borderId="0" xfId="0" applyFont="1" applyFill="1" applyAlignment="1">
      <alignment horizontal="center"/>
    </xf>
    <xf numFmtId="0" fontId="26" fillId="0" borderId="0" xfId="0" applyFont="1" applyAlignment="1">
      <alignment horizontal="left" wrapText="1"/>
    </xf>
    <xf numFmtId="17" fontId="23" fillId="25" borderId="0" xfId="0" applyNumberFormat="1" applyFont="1" applyFill="1" applyAlignment="1">
      <alignment horizontal="center"/>
    </xf>
    <xf numFmtId="0" fontId="19" fillId="0" borderId="0" xfId="0" applyFont="1" applyAlignment="1">
      <alignment horizontal="left" vertical="top" wrapText="1"/>
    </xf>
    <xf numFmtId="0" fontId="23" fillId="11" borderId="0" xfId="0" applyFont="1" applyFill="1" applyAlignment="1">
      <alignment horizontal="center"/>
    </xf>
    <xf numFmtId="0" fontId="26" fillId="0" borderId="21" xfId="0" applyFont="1" applyBorder="1" applyAlignment="1">
      <alignment horizontal="left" wrapText="1"/>
    </xf>
  </cellXfs>
  <cellStyles count="5">
    <cellStyle name="Comma" xfId="3" builtinId="3"/>
    <cellStyle name="Comma 2" xfId="4" xr:uid="{C869A961-2177-416B-AE90-C38B8A403446}"/>
    <cellStyle name="Currency" xfId="1" builtinId="4"/>
    <cellStyle name="Normal" xfId="0" builtinId="0"/>
    <cellStyle name="Percent" xfId="2" builtinId="5"/>
  </cellStyles>
  <dxfs count="105">
    <dxf>
      <font>
        <color rgb="FFFF0000"/>
      </font>
      <numFmt numFmtId="30" formatCode="@"/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</dxf>
    <dxf>
      <numFmt numFmtId="169" formatCode="[$USD]\ #,##0"/>
      <fill>
        <patternFill patternType="solid">
          <fgColor rgb="FFD9E2F3"/>
          <bgColor rgb="FFD9E2F3"/>
        </patternFill>
      </fill>
    </dxf>
    <dxf>
      <numFmt numFmtId="30" formatCode="@"/>
      <fill>
        <patternFill patternType="solid">
          <fgColor rgb="FFD9E2F3"/>
          <bgColor rgb="FFD9E2F3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scheme val="none"/>
      </font>
      <numFmt numFmtId="174" formatCode="_(* #,##0_);_(* \(#,##0\);_(* &quot;-&quot;??_);_(@_)"/>
      <fill>
        <patternFill patternType="solid">
          <fgColor indexed="64"/>
          <bgColor rgb="FFF2F2F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medium">
          <color rgb="FFC9C9C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[$USD]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color rgb="FFFF0000"/>
      </font>
      <numFmt numFmtId="30" formatCode="@"/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</dxf>
    <dxf>
      <numFmt numFmtId="169" formatCode="[$USD]\ #,##0"/>
      <fill>
        <patternFill patternType="solid">
          <fgColor rgb="FFD9E2F3"/>
          <bgColor rgb="FFD9E2F3"/>
        </patternFill>
      </fill>
    </dxf>
    <dxf>
      <numFmt numFmtId="30" formatCode="@"/>
      <fill>
        <patternFill patternType="solid">
          <fgColor rgb="FFD9E2F3"/>
          <bgColor rgb="FFD9E2F3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</dxf>
    <dxf>
      <numFmt numFmtId="35" formatCode="_(* #,##0.00_);_(* \(#,##0.00\);_(* &quot;-&quot;??_);_(@_)"/>
    </dxf>
    <dxf>
      <font>
        <color rgb="FF000000"/>
      </font>
      <numFmt numFmtId="168" formatCode="_-* #,##0.00_-;\-* #,##0.00_-;_-* &quot;-&quot;??_-;_-@"/>
      <fill>
        <patternFill patternType="solid">
          <fgColor indexed="64"/>
          <bgColor theme="4" tint="0.39997558519241921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ck">
          <color rgb="FFA1B8E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174" formatCode="_(* #,##0_);_(* \(#,##0\);_(* &quot;-&quot;??_);_(@_)"/>
      <fill>
        <patternFill patternType="solid">
          <fgColor indexed="64"/>
          <bgColor rgb="FF0113FF"/>
        </patternFill>
      </fill>
      <alignment horizontal="general" vertical="center" textRotation="0" wrapText="0" indent="0" justifyLastLine="0" shrinkToFit="0" readingOrder="0"/>
    </dxf>
    <dxf>
      <font>
        <b/>
        <color rgb="FF000000"/>
      </font>
      <numFmt numFmtId="168" formatCode="_-* #,##0.00_-;\-* #,##0.00_-;_-* &quot;-&quot;??_-;_-@"/>
      <fill>
        <patternFill patternType="solid">
          <fgColor indexed="64"/>
          <bgColor theme="4" tint="0.39997558519241921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ck">
          <color rgb="FFA1B8E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174" formatCode="_(* #,##0_);_(* \(#,##0\);_(* &quot;-&quot;??_);_(@_)"/>
      <fill>
        <patternFill patternType="solid">
          <fgColor indexed="64"/>
          <bgColor rgb="FF0113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8" formatCode="_-* #,##0.00_-;\-* #,##0.00_-;_-* &quot;-&quot;??_-;_-@"/>
      <fill>
        <patternFill patternType="solid">
          <fgColor rgb="FFD9D9D9"/>
          <bgColor rgb="FFD9D9D9"/>
        </patternFill>
      </fill>
      <alignment horizontal="left" vertical="bottom" textRotation="0" wrapText="0" indent="0" justifyLastLine="0" shrinkToFit="0" readingOrder="0"/>
    </dxf>
    <dxf>
      <numFmt numFmtId="168" formatCode="_-* #,##0.00_-;\-* #,##0.00_-;_-* &quot;-&quot;??_-;_-@"/>
    </dxf>
    <dxf>
      <numFmt numFmtId="168" formatCode="_-* #,##0.00_-;\-* #,##0.00_-;_-* &quot;-&quot;??_-;_-@"/>
      <fill>
        <patternFill patternType="solid">
          <fgColor indexed="64"/>
          <bgColor theme="0" tint="-0.14999847407452621"/>
        </patternFill>
      </fill>
    </dxf>
    <dxf>
      <numFmt numFmtId="168" formatCode="_-* #,##0.00_-;\-* #,##0.00_-;_-* &quot;-&quot;??_-;_-@"/>
    </dxf>
    <dxf>
      <font>
        <b/>
        <sz val="13"/>
        <color rgb="FF44546A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z val="13"/>
        <color rgb="FF44546A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_-* #,##0.00_-;\-* #,##0.00_-;_-* &quot;-&quot;??_-;_-@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left"/>
    </dxf>
    <dxf>
      <fill>
        <patternFill patternType="none">
          <bgColor auto="1"/>
        </patternFill>
      </fill>
    </dxf>
    <dxf>
      <numFmt numFmtId="35" formatCode="_(* #,##0.00_);_(* \(#,##0.00\);_(* &quot;-&quot;??_);_(@_)"/>
    </dxf>
    <dxf>
      <font>
        <color rgb="FF000000"/>
      </font>
      <numFmt numFmtId="168" formatCode="_-* #,##0.00_-;\-* #,##0.00_-;_-* &quot;-&quot;??_-;_-@"/>
      <fill>
        <patternFill patternType="solid">
          <fgColor indexed="64"/>
          <bgColor theme="4" tint="0.39997558519241921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ck">
          <color rgb="FFA1B8E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174" formatCode="_(* #,##0_);_(* \(#,##0\);_(* &quot;-&quot;??_);_(@_)"/>
      <fill>
        <patternFill patternType="solid">
          <fgColor indexed="64"/>
          <bgColor rgb="FF0113FF"/>
        </patternFill>
      </fill>
      <alignment horizontal="general" vertical="center" textRotation="0" wrapText="0" indent="0" justifyLastLine="0" shrinkToFit="0" readingOrder="0"/>
    </dxf>
    <dxf>
      <font>
        <b/>
        <color rgb="FF000000"/>
      </font>
      <numFmt numFmtId="168" formatCode="_-* #,##0.00_-;\-* #,##0.00_-;_-* &quot;-&quot;??_-;_-@"/>
      <fill>
        <patternFill patternType="solid">
          <fgColor indexed="64"/>
          <bgColor theme="4" tint="0.39997558519241921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ck">
          <color rgb="FFA1B8E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174" formatCode="_(* #,##0_);_(* \(#,##0\);_(* &quot;-&quot;??_);_(@_)"/>
      <fill>
        <patternFill patternType="solid">
          <fgColor indexed="64"/>
          <bgColor rgb="FF0113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8" formatCode="_-* #,##0.00_-;\-* #,##0.00_-;_-* &quot;-&quot;??_-;_-@"/>
      <fill>
        <patternFill patternType="solid">
          <fgColor rgb="FFD9D9D9"/>
          <bgColor rgb="FFD9D9D9"/>
        </patternFill>
      </fill>
      <alignment horizontal="left" vertical="bottom" textRotation="0" wrapText="0" indent="0" justifyLastLine="0" shrinkToFit="0" readingOrder="0"/>
    </dxf>
    <dxf>
      <numFmt numFmtId="168" formatCode="_-* #,##0.00_-;\-* #,##0.00_-;_-* &quot;-&quot;??_-;_-@"/>
    </dxf>
    <dxf>
      <numFmt numFmtId="168" formatCode="_-* #,##0.00_-;\-* #,##0.00_-;_-* &quot;-&quot;??_-;_-@"/>
      <fill>
        <patternFill patternType="solid">
          <fgColor indexed="64"/>
          <bgColor theme="0" tint="-0.14999847407452621"/>
        </patternFill>
      </fill>
    </dxf>
    <dxf>
      <numFmt numFmtId="168" formatCode="_-* #,##0.00_-;\-* #,##0.00_-;_-* &quot;-&quot;??_-;_-@"/>
    </dxf>
    <dxf>
      <font>
        <b/>
        <sz val="13"/>
        <color rgb="FF44546A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z val="13"/>
        <color rgb="FF44546A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_-* #,##0.00_-;\-* #,##0.00_-;_-* &quot;-&quot;??_-;_-@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left"/>
    </dxf>
    <dxf>
      <fill>
        <patternFill patternType="none">
          <bgColor auto="1"/>
        </patternFill>
      </fill>
    </dxf>
    <dxf>
      <numFmt numFmtId="35" formatCode="_(* #,##0.00_);_(* \(#,##0.00\);_(* &quot;-&quot;??_);_(@_)"/>
    </dxf>
    <dxf>
      <font>
        <color rgb="FF000000"/>
      </font>
      <numFmt numFmtId="168" formatCode="_-* #,##0.00_-;\-* #,##0.00_-;_-* &quot;-&quot;??_-;_-@"/>
      <fill>
        <patternFill patternType="solid">
          <fgColor indexed="64"/>
          <bgColor theme="4" tint="0.39997558519241921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ck">
          <color rgb="FFA1B8E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minor"/>
      </font>
      <numFmt numFmtId="174" formatCode="_(* #,##0_);_(* \(#,##0\);_(* &quot;-&quot;??_);_(@_)"/>
      <fill>
        <patternFill patternType="solid">
          <fgColor indexed="64"/>
          <bgColor rgb="FF0113FF"/>
        </patternFill>
      </fill>
      <alignment horizontal="general" vertical="center" textRotation="0" wrapText="0" indent="0" justifyLastLine="0" shrinkToFit="0" readingOrder="0"/>
    </dxf>
    <dxf>
      <font>
        <b/>
        <color rgb="FF000000"/>
      </font>
      <numFmt numFmtId="168" formatCode="_-* #,##0.00_-;\-* #,##0.00_-;_-* &quot;-&quot;??_-;_-@"/>
      <fill>
        <patternFill patternType="solid">
          <fgColor indexed="64"/>
          <bgColor theme="4" tint="0.39997558519241921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ck">
          <color rgb="FFA1B8E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minor"/>
      </font>
      <numFmt numFmtId="174" formatCode="_(* #,##0_);_(* \(#,##0\);_(* &quot;-&quot;??_);_(@_)"/>
      <fill>
        <patternFill patternType="solid">
          <fgColor indexed="64"/>
          <bgColor rgb="FF0113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8" formatCode="_-* #,##0.00_-;\-* #,##0.00_-;_-* &quot;-&quot;??_-;_-@"/>
      <fill>
        <patternFill patternType="solid">
          <fgColor rgb="FFD9D9D9"/>
          <bgColor rgb="FFD9D9D9"/>
        </patternFill>
      </fill>
      <alignment horizontal="left" vertical="bottom" textRotation="0" wrapText="0" indent="0" justifyLastLine="0" shrinkToFit="0" readingOrder="0"/>
    </dxf>
    <dxf>
      <numFmt numFmtId="168" formatCode="_-* #,##0.00_-;\-* #,##0.00_-;_-* &quot;-&quot;??_-;_-@"/>
    </dxf>
    <dxf>
      <numFmt numFmtId="168" formatCode="_-* #,##0.00_-;\-* #,##0.00_-;_-* &quot;-&quot;??_-;_-@"/>
      <fill>
        <patternFill patternType="solid">
          <fgColor indexed="64"/>
          <bgColor theme="0" tint="-0.14999847407452621"/>
        </patternFill>
      </fill>
    </dxf>
    <dxf>
      <numFmt numFmtId="168" formatCode="_-* #,##0.00_-;\-* #,##0.00_-;_-* &quot;-&quot;??_-;_-@"/>
    </dxf>
    <dxf>
      <font>
        <b/>
        <sz val="13"/>
        <color rgb="FF44546A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z val="13"/>
        <color rgb="FF44546A"/>
      </font>
      <numFmt numFmtId="168" formatCode="_-* #,##0.00_-;\-* #,##0.00_-;_-* &quot;-&quot;??_-;_-@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_-* #,##0.00_-;\-* #,##0.00_-;_-* &quot;-&quot;??_-;_-@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left"/>
    </dxf>
    <dxf>
      <fill>
        <patternFill patternType="none">
          <bgColor auto="1"/>
        </patternFill>
      </fill>
    </dxf>
    <dxf>
      <numFmt numFmtId="1" formatCode="0"/>
      <fill>
        <patternFill patternType="none">
          <bgColor auto="1"/>
        </patternFill>
      </fill>
    </dxf>
    <dxf>
      <numFmt numFmtId="168" formatCode="_-* #,##0.00_-;\-* #,##0.00_-;_-* &quot;-&quot;??_-;_-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168" formatCode="_-* #,##0.00_-;\-* #,##0.00_-;_-* &quot;-&quot;??_-;_-@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bgColor auto="1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8" formatCode="_-* #,##0.00_-;\-* #,##0.00_-;_-* &quot;-&quot;??_-;_-@"/>
      <fill>
        <patternFill patternType="solid">
          <fgColor rgb="FFD9D9D9"/>
          <bgColor rgb="FFD9D9D9"/>
        </patternFill>
      </fill>
      <alignment horizontal="left" vertical="bottom" textRotation="0" wrapText="0" indent="0" justifyLastLine="0" shrinkToFit="0" readingOrder="0"/>
    </dxf>
    <dxf>
      <numFmt numFmtId="168" formatCode="_-* #,##0.00_-;\-* #,##0.00_-;_-* &quot;-&quot;??_-;_-@"/>
    </dxf>
    <dxf>
      <numFmt numFmtId="168" formatCode="_-* #,##0.00_-;\-* #,##0.00_-;_-* &quot;-&quot;??_-;_-@"/>
    </dxf>
    <dxf>
      <numFmt numFmtId="168" formatCode="_-* #,##0.00_-;\-* #,##0.00_-;_-* &quot;-&quot;??_-;_-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8" formatCode="_-* #,##0.00_-;\-* #,##0.00_-;_-* &quot;-&quot;??_-;_-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numFmt numFmtId="168" formatCode="_-* #,##0.00_-;\-* #,##0.00_-;_-* &quot;-&quot;??_-;_-@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8" formatCode="_-* #,##0.00_-;\-* #,##0.00_-;_-* &quot;-&quot;??_-;_-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5" defaultTableStyle="TableStyleMedium2" defaultPivotStyle="PivotStyleLight16">
    <tableStyle name="GAZT 2-style" pivot="0" count="3" xr9:uid="{00000000-0011-0000-FFFF-FFFF00000000}">
      <tableStyleElement type="headerRow" dxfId="104"/>
      <tableStyleElement type="firstRowStripe" dxfId="103"/>
      <tableStyleElement type="secondRowStripe" dxfId="102"/>
    </tableStyle>
    <tableStyle name="MEIM-style" pivot="0" count="3" xr9:uid="{00000000-0011-0000-FFFF-FFFF01000000}">
      <tableStyleElement type="headerRow" dxfId="101"/>
      <tableStyleElement type="firstRowStripe" dxfId="100"/>
      <tableStyleElement type="secondRowStripe" dxfId="99"/>
    </tableStyle>
    <tableStyle name="MOH-style" pivot="0" count="3" xr9:uid="{00000000-0011-0000-FFFF-FFFF02000000}">
      <tableStyleElement type="headerRow" dxfId="98"/>
      <tableStyleElement type="firstRowStripe" dxfId="97"/>
      <tableStyleElement type="secondRowStripe" dxfId="96"/>
    </tableStyle>
    <tableStyle name="OC-style" pivot="0" count="3" xr9:uid="{00000000-0011-0000-FFFF-FFFF03000000}">
      <tableStyleElement type="headerRow" dxfId="95"/>
      <tableStyleElement type="firstRowStripe" dxfId="94"/>
      <tableStyleElement type="secondRowStripe" dxfId="93"/>
    </tableStyle>
    <tableStyle name="Positions-style" pivot="0" count="3" xr9:uid="{00000000-0011-0000-FFFF-FFFF04000000}">
      <tableStyleElement type="headerRow" dxfId="92"/>
      <tableStyleElement type="firstRowStripe" dxfId="91"/>
      <tableStyleElement type="secondRowStripe" dxfId="90"/>
    </tableStyle>
  </tableStyles>
  <colors>
    <mruColors>
      <color rgb="FF0C00FF"/>
      <color rgb="FFD8D8D8"/>
      <color rgb="FFA1B1D0"/>
      <color rgb="FF00B050"/>
      <color rgb="FF0113FF"/>
      <color rgb="FFBFBFBF"/>
      <color rgb="FFA6CA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009101387339"/>
          <c:y val="2.3096236692471895E-2"/>
          <c:w val="0.86532727197921588"/>
          <c:h val="0.760004423564220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'Profitability - Development'!$I$6</c:f>
              <c:strCache>
                <c:ptCount val="1"/>
                <c:pt idx="0">
                  <c:v>Current Cost (SAR)</c:v>
                </c:pt>
              </c:strCache>
            </c:strRef>
          </c:tx>
          <c:spPr>
            <a:solidFill>
              <a:srgbClr val="A1B1D0"/>
            </a:solidFill>
            <a:ln>
              <a:noFill/>
            </a:ln>
            <a:effectLst/>
          </c:spPr>
          <c:invertIfNegative val="0"/>
          <c:cat>
            <c:numRef>
              <c:f>'Profitability - Development'!$A$8:$A$9</c:f>
              <c:numCache>
                <c:formatCode>mmm\-yy</c:formatCode>
                <c:ptCount val="2"/>
                <c:pt idx="0">
                  <c:v>46102</c:v>
                </c:pt>
                <c:pt idx="1">
                  <c:v>46133</c:v>
                </c:pt>
              </c:numCache>
            </c:numRef>
          </c:cat>
          <c:val>
            <c:numRef>
              <c:f>'Profitability - Development'!$I$9:$I$9</c:f>
              <c:numCache>
                <c:formatCode>_(* #,##0.00_);_(* \(#,##0.00\);_(* "-"??_);_(@_)</c:formatCode>
                <c:ptCount val="1"/>
                <c:pt idx="0">
                  <c:v>150282.41249999998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5-42E1-B6D3-E02242ADABE7}"/>
            </c:ext>
          </c:extLst>
        </c:ser>
        <c:ser>
          <c:idx val="1"/>
          <c:order val="1"/>
          <c:tx>
            <c:strRef>
              <c:f>'Profitability - Development'!$N$6</c:f>
              <c:strCache>
                <c:ptCount val="1"/>
                <c:pt idx="0">
                  <c:v>Estimated Cost to Complete</c:v>
                </c:pt>
              </c:strCache>
            </c:strRef>
          </c:tx>
          <c:spPr>
            <a:solidFill>
              <a:srgbClr val="D8D8D8"/>
            </a:solidFill>
            <a:ln>
              <a:noFill/>
            </a:ln>
            <a:effectLst/>
          </c:spPr>
          <c:invertIfNegative val="0"/>
          <c:cat>
            <c:numRef>
              <c:f>'Profitability - Development'!$A$8:$A$9</c:f>
              <c:numCache>
                <c:formatCode>mmm\-yy</c:formatCode>
                <c:ptCount val="2"/>
                <c:pt idx="0">
                  <c:v>46102</c:v>
                </c:pt>
                <c:pt idx="1">
                  <c:v>46133</c:v>
                </c:pt>
              </c:numCache>
            </c:numRef>
          </c:cat>
          <c:val>
            <c:numRef>
              <c:f>'Profitability - Development'!$N$8:$N$9</c:f>
              <c:numCache>
                <c:formatCode>#,##0.00</c:formatCode>
                <c:ptCount val="2"/>
                <c:pt idx="0">
                  <c:v>6746253.3947368432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F5-42E1-B6D3-E02242ADA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87999864"/>
        <c:axId val="888007784"/>
      </c:barChart>
      <c:lineChart>
        <c:grouping val="standard"/>
        <c:varyColors val="0"/>
        <c:ser>
          <c:idx val="2"/>
          <c:order val="2"/>
          <c:tx>
            <c:strRef>
              <c:f>'Profitability - Development'!$T$6</c:f>
              <c:strCache>
                <c:ptCount val="1"/>
                <c:pt idx="0">
                  <c:v>Profit at Completion</c:v>
                </c:pt>
              </c:strCache>
            </c:strRef>
          </c:tx>
          <c:spPr>
            <a:ln w="28575" cap="rnd">
              <a:solidFill>
                <a:srgbClr val="0C00FF"/>
              </a:solidFill>
              <a:round/>
            </a:ln>
            <a:effectLst/>
          </c:spPr>
          <c:marker>
            <c:symbol val="none"/>
          </c:marker>
          <c:cat>
            <c:strRef>
              <c:f>'[1]Profitability - Develoopment'!#REF!</c:f>
              <c:strCache>
                <c:ptCount val="1"/>
                <c:pt idx="0">
                  <c:v>#REF!</c:v>
                </c:pt>
              </c:strCache>
            </c:strRef>
          </c:cat>
          <c:val>
            <c:numRef>
              <c:f>'Profitability - Development'!$T$8:$T$9</c:f>
              <c:numCache>
                <c:formatCode>_-* #,##0.00\ [$SAR]_-;\-* #,##0.00\ [$SAR]_-;_-* "-"??\ [$SAR]_-;_-@</c:formatCode>
                <c:ptCount val="2"/>
                <c:pt idx="0">
                  <c:v>9412058.6052631568</c:v>
                </c:pt>
                <c:pt idx="1">
                  <c:v>16040061.5875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F5-42E1-B6D3-E02242ADABE7}"/>
            </c:ext>
          </c:extLst>
        </c:ser>
        <c:ser>
          <c:idx val="3"/>
          <c:order val="3"/>
          <c:tx>
            <c:strRef>
              <c:f>'Profitability - Development'!$AE$6</c:f>
              <c:strCache>
                <c:ptCount val="1"/>
                <c:pt idx="0">
                  <c:v>VI+Issued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'Profitability - Development'!$AE$8:$AE$9</c:f>
              <c:numCache>
                <c:formatCode>_(* #,##0_);_(* \(#,##0\);_(* "-"??_);_(@_)</c:formatCode>
                <c:ptCount val="2"/>
                <c:pt idx="0">
                  <c:v>161903.44</c:v>
                </c:pt>
                <c:pt idx="1">
                  <c:v>485710.32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F5-42E1-B6D3-E02242ADA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7999864"/>
        <c:axId val="888007784"/>
      </c:lineChart>
      <c:dateAx>
        <c:axId val="88799986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888007784"/>
        <c:crosses val="autoZero"/>
        <c:auto val="1"/>
        <c:lblOffset val="100"/>
        <c:baseTimeUnit val="months"/>
      </c:dateAx>
      <c:valAx>
        <c:axId val="88800778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887999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'Profitability - Consultation'!$I$6</c:f>
              <c:strCache>
                <c:ptCount val="1"/>
                <c:pt idx="0">
                  <c:v>Current Cost (SAR)</c:v>
                </c:pt>
              </c:strCache>
            </c:strRef>
          </c:tx>
          <c:spPr>
            <a:solidFill>
              <a:srgbClr val="A1B1D0"/>
            </a:solidFill>
            <a:ln>
              <a:noFill/>
            </a:ln>
            <a:effectLst/>
          </c:spPr>
          <c:invertIfNegative val="0"/>
          <c:cat>
            <c:numRef>
              <c:f>'Profitability - Consultation'!$A$14:$A$19</c:f>
              <c:numCache>
                <c:formatCode>mmm\-yy</c:formatCode>
                <c:ptCount val="6"/>
                <c:pt idx="0">
                  <c:v>45982</c:v>
                </c:pt>
                <c:pt idx="1">
                  <c:v>46012</c:v>
                </c:pt>
                <c:pt idx="2">
                  <c:v>46043</c:v>
                </c:pt>
                <c:pt idx="3">
                  <c:v>46074</c:v>
                </c:pt>
                <c:pt idx="4">
                  <c:v>46102</c:v>
                </c:pt>
                <c:pt idx="5">
                  <c:v>46133</c:v>
                </c:pt>
              </c:numCache>
            </c:numRef>
          </c:cat>
          <c:val>
            <c:numRef>
              <c:f>'Profitability - Consultation'!$I$14:$I$19</c:f>
              <c:numCache>
                <c:formatCode>_(* #,##0.00_);_(* \(#,##0.00\);_(* "-"??_);_(@_)</c:formatCode>
                <c:ptCount val="6"/>
                <c:pt idx="0">
                  <c:v>2067058.9124999999</c:v>
                </c:pt>
                <c:pt idx="1">
                  <c:v>2467746.0750000002</c:v>
                </c:pt>
                <c:pt idx="2">
                  <c:v>2897830.7437499999</c:v>
                </c:pt>
                <c:pt idx="3">
                  <c:v>3483382.1835937495</c:v>
                </c:pt>
                <c:pt idx="4">
                  <c:v>3903237</c:v>
                </c:pt>
                <c:pt idx="5">
                  <c:v>4182152.7691406254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3-45CD-B5A5-064F01FF4984}"/>
            </c:ext>
          </c:extLst>
        </c:ser>
        <c:ser>
          <c:idx val="1"/>
          <c:order val="1"/>
          <c:tx>
            <c:strRef>
              <c:f>'Profitability - Consultation'!$N$6</c:f>
              <c:strCache>
                <c:ptCount val="1"/>
                <c:pt idx="0">
                  <c:v>Estimated Cost to Complete</c:v>
                </c:pt>
              </c:strCache>
            </c:strRef>
          </c:tx>
          <c:spPr>
            <a:solidFill>
              <a:srgbClr val="D8D8D8"/>
            </a:solidFill>
            <a:ln>
              <a:noFill/>
            </a:ln>
            <a:effectLst/>
          </c:spPr>
          <c:invertIfNegative val="0"/>
          <c:cat>
            <c:numRef>
              <c:f>'Profitability - Consultation'!$A$14:$A$19</c:f>
              <c:numCache>
                <c:formatCode>mmm\-yy</c:formatCode>
                <c:ptCount val="6"/>
                <c:pt idx="0">
                  <c:v>45982</c:v>
                </c:pt>
                <c:pt idx="1">
                  <c:v>46012</c:v>
                </c:pt>
                <c:pt idx="2">
                  <c:v>46043</c:v>
                </c:pt>
                <c:pt idx="3">
                  <c:v>46074</c:v>
                </c:pt>
                <c:pt idx="4">
                  <c:v>46102</c:v>
                </c:pt>
                <c:pt idx="5">
                  <c:v>46133</c:v>
                </c:pt>
              </c:numCache>
            </c:numRef>
          </c:cat>
          <c:val>
            <c:numRef>
              <c:f>'Profitability - Consultation'!$N$14:$N$19</c:f>
              <c:numCache>
                <c:formatCode>#,##0.00</c:formatCode>
                <c:ptCount val="6"/>
                <c:pt idx="0">
                  <c:v>2236398.7950860299</c:v>
                </c:pt>
                <c:pt idx="1">
                  <c:v>1741321.5985711787</c:v>
                </c:pt>
                <c:pt idx="2">
                  <c:v>1886810.1199037444</c:v>
                </c:pt>
                <c:pt idx="3">
                  <c:v>2180967.1636217502</c:v>
                </c:pt>
                <c:pt idx="4">
                  <c:v>1954833.6548308381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93-45CD-B5A5-064F01FF4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87999864"/>
        <c:axId val="888007784"/>
      </c:barChart>
      <c:lineChart>
        <c:grouping val="standard"/>
        <c:varyColors val="0"/>
        <c:ser>
          <c:idx val="2"/>
          <c:order val="2"/>
          <c:tx>
            <c:strRef>
              <c:f>'Profitability - Consultation'!$T$6</c:f>
              <c:strCache>
                <c:ptCount val="1"/>
                <c:pt idx="0">
                  <c:v>Profit at Completion</c:v>
                </c:pt>
              </c:strCache>
            </c:strRef>
          </c:tx>
          <c:spPr>
            <a:ln w="28575" cap="rnd">
              <a:solidFill>
                <a:srgbClr val="0C00FF"/>
              </a:solidFill>
              <a:round/>
            </a:ln>
            <a:effectLst/>
          </c:spPr>
          <c:marker>
            <c:symbol val="none"/>
          </c:marker>
          <c:cat>
            <c:numRef>
              <c:f>'Profitability - Consultation'!$A$8:$A$12</c:f>
              <c:numCache>
                <c:formatCode>mmm\-yy</c:formatCode>
                <c:ptCount val="5"/>
                <c:pt idx="0">
                  <c:v>45798</c:v>
                </c:pt>
                <c:pt idx="1">
                  <c:v>45829</c:v>
                </c:pt>
                <c:pt idx="2">
                  <c:v>45859</c:v>
                </c:pt>
                <c:pt idx="3">
                  <c:v>45890</c:v>
                </c:pt>
                <c:pt idx="4">
                  <c:v>45921</c:v>
                </c:pt>
              </c:numCache>
            </c:numRef>
          </c:cat>
          <c:val>
            <c:numRef>
              <c:f>'Profitability - Consultation'!$T$14:$T$19</c:f>
              <c:numCache>
                <c:formatCode>_-* #,##0.00\ [$SAR]_-;\-* #,##0.00\ [$SAR]_-;_-* "-"??\ [$SAR]_-;_-@</c:formatCode>
                <c:ptCount val="6"/>
                <c:pt idx="0">
                  <c:v>2337792.2924139705</c:v>
                </c:pt>
                <c:pt idx="1">
                  <c:v>2432182.3264288213</c:v>
                </c:pt>
                <c:pt idx="2">
                  <c:v>1856609.1363462554</c:v>
                </c:pt>
                <c:pt idx="3">
                  <c:v>976900.65278450027</c:v>
                </c:pt>
                <c:pt idx="4">
                  <c:v>783179.34516916238</c:v>
                </c:pt>
                <c:pt idx="5">
                  <c:v>2459097.2308593746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93-45CD-B5A5-064F01FF4984}"/>
            </c:ext>
          </c:extLst>
        </c:ser>
        <c:ser>
          <c:idx val="3"/>
          <c:order val="3"/>
          <c:tx>
            <c:strRef>
              <c:f>'Profitability - Consultation'!$AE$6</c:f>
              <c:strCache>
                <c:ptCount val="1"/>
                <c:pt idx="0">
                  <c:v>VI+Issued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'Profitability - Consultation'!$AE$14:$AE$19</c:f>
              <c:numCache>
                <c:formatCode>_(* #,##0_);_(* \(#,##0\);_(* "-"??_);_(@_)</c:formatCode>
                <c:ptCount val="6"/>
                <c:pt idx="0">
                  <c:v>3187800</c:v>
                </c:pt>
                <c:pt idx="1">
                  <c:v>3851924.9999999995</c:v>
                </c:pt>
                <c:pt idx="2">
                  <c:v>4383225</c:v>
                </c:pt>
                <c:pt idx="3">
                  <c:v>4117575</c:v>
                </c:pt>
                <c:pt idx="4">
                  <c:v>4383225</c:v>
                </c:pt>
                <c:pt idx="5">
                  <c:v>4582462.5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F93-45CD-B5A5-064F01FF4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7999864"/>
        <c:axId val="888007784"/>
      </c:lineChart>
      <c:dateAx>
        <c:axId val="88799986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888007784"/>
        <c:crosses val="autoZero"/>
        <c:auto val="1"/>
        <c:lblOffset val="100"/>
        <c:baseTimeUnit val="months"/>
      </c:dateAx>
      <c:valAx>
        <c:axId val="88800778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887999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Profitability</a:t>
            </a:r>
          </a:p>
        </c:rich>
      </c:tx>
      <c:layout>
        <c:manualLayout>
          <c:xMode val="edge"/>
          <c:yMode val="edge"/>
          <c:x val="0.2874652230971128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'Profitability - Consultation'!$T$6:$T$7</c:f>
              <c:strCache>
                <c:ptCount val="2"/>
                <c:pt idx="0">
                  <c:v>Profit at Completion</c:v>
                </c:pt>
                <c:pt idx="1">
                  <c:v>(13)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[1]Profitability!#REF!</c:f>
              <c:numCache>
                <c:formatCode>_-* #,##0.00\ [$SAR]_-;\-* #,##0.00\ [$SAR]_-;_-* "-"??\ [$SAR]_-;_-@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[1]Profitability!#REF!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2A6-4433-9709-5858360CDF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90"/>
        <c:overlap val="-27"/>
        <c:axId val="-48178128"/>
        <c:axId val="-40490944"/>
        <c:extLst/>
      </c:barChart>
      <c:catAx>
        <c:axId val="-48178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0490944"/>
        <c:crosses val="autoZero"/>
        <c:auto val="1"/>
        <c:lblAlgn val="ctr"/>
        <c:lblOffset val="100"/>
        <c:noMultiLvlLbl val="1"/>
      </c:catAx>
      <c:valAx>
        <c:axId val="-4049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.00\ [$SAR]_-;\-* #,##0.00\ [$SAR]_-;_-* &quot;-&quot;??\ [$SAR]_-;_-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817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Cost Variance</a:t>
            </a:r>
          </a:p>
        </c:rich>
      </c:tx>
      <c:layout>
        <c:manualLayout>
          <c:xMode val="edge"/>
          <c:yMode val="edge"/>
          <c:x val="0.2874652230971128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'Profitability - Consultation'!$Q$6</c:f>
              <c:strCache>
                <c:ptCount val="1"/>
                <c:pt idx="0">
                  <c:v>Variance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[1]Profitability!#REF!</c:f>
              <c:numCache>
                <c:formatCode>_-* #,##0.00\ [$SAR]_-;\-* #,##0.00\ [$SAR]_-;_-* "-"??\ [$SAR]_-;_-@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[1]Profitability!#REF!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51F-4577-A3CC-92D7871657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90"/>
        <c:overlap val="-27"/>
        <c:axId val="-95518528"/>
        <c:axId val="-95517984"/>
        <c:extLst/>
      </c:barChart>
      <c:catAx>
        <c:axId val="-95518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5517984"/>
        <c:crosses val="autoZero"/>
        <c:auto val="1"/>
        <c:lblAlgn val="ctr"/>
        <c:lblOffset val="100"/>
        <c:noMultiLvlLbl val="1"/>
      </c:catAx>
      <c:valAx>
        <c:axId val="-9551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.00\ [$SAR]_-;\-* #,##0.00\ [$SAR]_-;_-* &quot;-&quot;??\ [$SAR]_-;_-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551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'Profitability - Consultation'!$J$6</c:f>
              <c:strCache>
                <c:ptCount val="1"/>
                <c:pt idx="0">
                  <c:v>Estimated Remaining (MD)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[1]Profitability!#REF!</c:f>
              <c:numCache>
                <c:formatCode>#,##0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[1]Profitability!#REF!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294-4E29-B147-DE9D6AEE0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5516352"/>
        <c:axId val="-95519072"/>
      </c:lineChart>
      <c:catAx>
        <c:axId val="-9551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5519072"/>
        <c:crosses val="autoZero"/>
        <c:auto val="1"/>
        <c:lblAlgn val="ctr"/>
        <c:lblOffset val="100"/>
        <c:noMultiLvlLbl val="1"/>
      </c:catAx>
      <c:valAx>
        <c:axId val="-9551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551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'Profitability - Consultation'!$P$6</c:f>
              <c:strCache>
                <c:ptCount val="1"/>
                <c:pt idx="0">
                  <c:v>CPI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'Profitability - Consultation'!$A$8:$A$16</c:f>
              <c:numCache>
                <c:formatCode>mmm\-yy</c:formatCode>
                <c:ptCount val="9"/>
                <c:pt idx="0">
                  <c:v>45798</c:v>
                </c:pt>
                <c:pt idx="1">
                  <c:v>45829</c:v>
                </c:pt>
                <c:pt idx="2">
                  <c:v>45859</c:v>
                </c:pt>
                <c:pt idx="3">
                  <c:v>45890</c:v>
                </c:pt>
                <c:pt idx="4">
                  <c:v>45921</c:v>
                </c:pt>
                <c:pt idx="5">
                  <c:v>45951</c:v>
                </c:pt>
                <c:pt idx="6">
                  <c:v>45982</c:v>
                </c:pt>
                <c:pt idx="7">
                  <c:v>46012</c:v>
                </c:pt>
                <c:pt idx="8">
                  <c:v>46043</c:v>
                </c:pt>
              </c:numCache>
            </c:numRef>
          </c:cat>
          <c:val>
            <c:numRef>
              <c:f>'Profitability - Consultation'!$P$8:$P$21</c:f>
              <c:numCache>
                <c:formatCode>#,##0.00</c:formatCode>
                <c:ptCount val="14"/>
                <c:pt idx="0">
                  <c:v>1.0449122769195367</c:v>
                </c:pt>
                <c:pt idx="1">
                  <c:v>1.0470006568172097</c:v>
                </c:pt>
                <c:pt idx="2">
                  <c:v>1.052767642259542</c:v>
                </c:pt>
                <c:pt idx="3">
                  <c:v>1.0520721073582979</c:v>
                </c:pt>
                <c:pt idx="4">
                  <c:v>0.90170541976018637</c:v>
                </c:pt>
                <c:pt idx="5">
                  <c:v>1.0753923788304969</c:v>
                </c:pt>
                <c:pt idx="6">
                  <c:v>1.1180312034944788</c:v>
                </c:pt>
                <c:pt idx="7">
                  <c:v>1.1431035025193057</c:v>
                </c:pt>
                <c:pt idx="8">
                  <c:v>1.0055927157562712</c:v>
                </c:pt>
                <c:pt idx="9">
                  <c:v>0.84941794812941829</c:v>
                </c:pt>
                <c:pt idx="10">
                  <c:v>0.82132843447907133</c:v>
                </c:pt>
                <c:pt idx="11">
                  <c:v>1.150460125584718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8F-4922-9246-8C0ED3257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8097871"/>
        <c:axId val="1418074831"/>
      </c:lineChart>
      <c:dateAx>
        <c:axId val="141809787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074831"/>
        <c:crosses val="autoZero"/>
        <c:auto val="1"/>
        <c:lblOffset val="100"/>
        <c:baseTimeUnit val="months"/>
      </c:dateAx>
      <c:valAx>
        <c:axId val="141807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09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ost!A1"/><Relationship Id="rId2" Type="http://schemas.openxmlformats.org/officeDocument/2006/relationships/hyperlink" Target="#'Current Effort'!A1"/><Relationship Id="rId1" Type="http://schemas.openxmlformats.org/officeDocument/2006/relationships/hyperlink" Target="#Budget!A1"/><Relationship Id="rId4" Type="http://schemas.openxmlformats.org/officeDocument/2006/relationships/hyperlink" Target="#'Estimated Cost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82551</xdr:colOff>
      <xdr:row>0</xdr:row>
      <xdr:rowOff>75407</xdr:rowOff>
    </xdr:from>
    <xdr:to>
      <xdr:col>15</xdr:col>
      <xdr:colOff>15082</xdr:colOff>
      <xdr:row>0</xdr:row>
      <xdr:rowOff>353028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88A4322-B338-4A8E-94CD-C95310A75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31776" y="75407"/>
          <a:ext cx="961231" cy="277621"/>
        </a:xfrm>
        <a:prstGeom prst="rect">
          <a:avLst/>
        </a:prstGeom>
      </xdr:spPr>
    </xdr:pic>
    <xdr:clientData/>
  </xdr:twoCellAnchor>
  <xdr:twoCellAnchor>
    <xdr:from>
      <xdr:col>16</xdr:col>
      <xdr:colOff>1364008</xdr:colOff>
      <xdr:row>11</xdr:row>
      <xdr:rowOff>177331</xdr:rowOff>
    </xdr:from>
    <xdr:to>
      <xdr:col>23</xdr:col>
      <xdr:colOff>1230099</xdr:colOff>
      <xdr:row>27</xdr:row>
      <xdr:rowOff>130350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879B03FF-ADEC-423B-9FE3-A2CF122F2D8C}"/>
            </a:ext>
            <a:ext uri="{147F2762-F138-4A5C-976F-8EAC2B608ADB}">
              <a16:predDERef xmlns:a16="http://schemas.microsoft.com/office/drawing/2014/main" pred="{788A4322-B338-4A8E-94CD-C95310A755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82551</xdr:colOff>
      <xdr:row>0</xdr:row>
      <xdr:rowOff>75407</xdr:rowOff>
    </xdr:from>
    <xdr:to>
      <xdr:col>15</xdr:col>
      <xdr:colOff>15082</xdr:colOff>
      <xdr:row>0</xdr:row>
      <xdr:rowOff>353028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BE8C3D-9F01-7572-FAB9-C3EBD2197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2207" y="75407"/>
          <a:ext cx="1000125" cy="277621"/>
        </a:xfrm>
        <a:prstGeom prst="rect">
          <a:avLst/>
        </a:prstGeom>
      </xdr:spPr>
    </xdr:pic>
    <xdr:clientData/>
  </xdr:twoCellAnchor>
  <xdr:twoCellAnchor>
    <xdr:from>
      <xdr:col>15</xdr:col>
      <xdr:colOff>920407</xdr:colOff>
      <xdr:row>21</xdr:row>
      <xdr:rowOff>105144</xdr:rowOff>
    </xdr:from>
    <xdr:to>
      <xdr:col>22</xdr:col>
      <xdr:colOff>858385</xdr:colOff>
      <xdr:row>37</xdr:row>
      <xdr:rowOff>12995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B5C0C59C-3628-3B82-F458-BCDBA1476A89}"/>
            </a:ext>
            <a:ext uri="{147F2762-F138-4A5C-976F-8EAC2B608ADB}">
              <a16:predDERef xmlns:a16="http://schemas.microsoft.com/office/drawing/2014/main" pred="{75BE8C3D-9F01-7572-FAB9-C3EBD2197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802332</xdr:colOff>
      <xdr:row>4</xdr:row>
      <xdr:rowOff>114301</xdr:rowOff>
    </xdr:from>
    <xdr:to>
      <xdr:col>3</xdr:col>
      <xdr:colOff>2627210</xdr:colOff>
      <xdr:row>7</xdr:row>
      <xdr:rowOff>19051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60685" y="977154"/>
          <a:ext cx="1824878" cy="47625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2 - Budget Sheet</a:t>
          </a:r>
        </a:p>
      </xdr:txBody>
    </xdr:sp>
    <xdr:clientData/>
  </xdr:twoCellAnchor>
  <xdr:twoCellAnchor>
    <xdr:from>
      <xdr:col>3</xdr:col>
      <xdr:colOff>3835204</xdr:colOff>
      <xdr:row>4</xdr:row>
      <xdr:rowOff>114301</xdr:rowOff>
    </xdr:from>
    <xdr:to>
      <xdr:col>6</xdr:col>
      <xdr:colOff>258847</xdr:colOff>
      <xdr:row>7</xdr:row>
      <xdr:rowOff>19051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793557" y="977154"/>
          <a:ext cx="1824878" cy="47625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3 - Current Effort Sheet</a:t>
          </a:r>
        </a:p>
      </xdr:txBody>
    </xdr:sp>
    <xdr:clientData/>
  </xdr:twoCellAnchor>
  <xdr:twoCellAnchor>
    <xdr:from>
      <xdr:col>8</xdr:col>
      <xdr:colOff>144546</xdr:colOff>
      <xdr:row>4</xdr:row>
      <xdr:rowOff>95251</xdr:rowOff>
    </xdr:from>
    <xdr:to>
      <xdr:col>11</xdr:col>
      <xdr:colOff>154072</xdr:colOff>
      <xdr:row>7</xdr:row>
      <xdr:rowOff>1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714370" y="958104"/>
          <a:ext cx="1824878" cy="47625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4 - Profitability Sheet</a:t>
          </a:r>
        </a:p>
      </xdr:txBody>
    </xdr:sp>
    <xdr:clientData/>
  </xdr:twoCellAnchor>
  <xdr:twoCellAnchor>
    <xdr:from>
      <xdr:col>2</xdr:col>
      <xdr:colOff>1568824</xdr:colOff>
      <xdr:row>5</xdr:row>
      <xdr:rowOff>30256</xdr:rowOff>
    </xdr:from>
    <xdr:to>
      <xdr:col>3</xdr:col>
      <xdr:colOff>654424</xdr:colOff>
      <xdr:row>6</xdr:row>
      <xdr:rowOff>144556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779059" y="1083609"/>
          <a:ext cx="833718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57150</xdr:colOff>
      <xdr:row>4</xdr:row>
      <xdr:rowOff>123825</xdr:rowOff>
    </xdr:from>
    <xdr:to>
      <xdr:col>2</xdr:col>
      <xdr:colOff>1400736</xdr:colOff>
      <xdr:row>7</xdr:row>
      <xdr:rowOff>28575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662268" y="986678"/>
          <a:ext cx="1948703" cy="47625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1- Estimated</a:t>
          </a:r>
          <a:r>
            <a:rPr lang="en-US" sz="1400" b="1" baseline="0"/>
            <a:t> Cost sheet</a:t>
          </a:r>
          <a:endParaRPr lang="en-US" sz="1400" b="1"/>
        </a:p>
      </xdr:txBody>
    </xdr:sp>
    <xdr:clientData/>
  </xdr:twoCellAnchor>
  <xdr:twoCellAnchor>
    <xdr:from>
      <xdr:col>3</xdr:col>
      <xdr:colOff>2877661</xdr:colOff>
      <xdr:row>5</xdr:row>
      <xdr:rowOff>19050</xdr:rowOff>
    </xdr:from>
    <xdr:to>
      <xdr:col>3</xdr:col>
      <xdr:colOff>3711379</xdr:colOff>
      <xdr:row>6</xdr:row>
      <xdr:rowOff>133350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836014" y="1072403"/>
          <a:ext cx="833718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363622</xdr:colOff>
      <xdr:row>5</xdr:row>
      <xdr:rowOff>9525</xdr:rowOff>
    </xdr:from>
    <xdr:to>
      <xdr:col>7</xdr:col>
      <xdr:colOff>587739</xdr:colOff>
      <xdr:row>6</xdr:row>
      <xdr:rowOff>123825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723210" y="1062878"/>
          <a:ext cx="82923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438150</xdr:colOff>
      <xdr:row>2</xdr:row>
      <xdr:rowOff>161925</xdr:rowOff>
    </xdr:from>
    <xdr:to>
      <xdr:col>3</xdr:col>
      <xdr:colOff>2745441</xdr:colOff>
      <xdr:row>8</xdr:row>
      <xdr:rowOff>104775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438150" y="554131"/>
          <a:ext cx="5265644" cy="1175497"/>
        </a:xfrm>
        <a:prstGeom prst="roundRect">
          <a:avLst/>
        </a:prstGeom>
        <a:noFill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Budget Planning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</xdr:row>
      <xdr:rowOff>66681</xdr:rowOff>
    </xdr:from>
    <xdr:to>
      <xdr:col>8</xdr:col>
      <xdr:colOff>414338</xdr:colOff>
      <xdr:row>15</xdr:row>
      <xdr:rowOff>142881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533400</xdr:colOff>
      <xdr:row>1</xdr:row>
      <xdr:rowOff>66675</xdr:rowOff>
    </xdr:from>
    <xdr:to>
      <xdr:col>17</xdr:col>
      <xdr:colOff>361951</xdr:colOff>
      <xdr:row>15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  <a:ext uri="{147F2762-F138-4A5C-976F-8EAC2B608ADB}">
              <a16:predDERef xmlns:a16="http://schemas.microsoft.com/office/drawing/2014/main" pre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16</xdr:row>
      <xdr:rowOff>121920</xdr:rowOff>
    </xdr:from>
    <xdr:to>
      <xdr:col>7</xdr:col>
      <xdr:colOff>457200</xdr:colOff>
      <xdr:row>31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  <a:ext uri="{147F2762-F138-4A5C-976F-8EAC2B608ADB}">
              <a16:predDERef xmlns:a16="http://schemas.microsoft.com/office/drawing/2014/main" pre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50800</xdr:colOff>
      <xdr:row>16</xdr:row>
      <xdr:rowOff>139700</xdr:rowOff>
    </xdr:from>
    <xdr:to>
      <xdr:col>16</xdr:col>
      <xdr:colOff>355600</xdr:colOff>
      <xdr:row>28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C60B0F-D44A-4D30-9EC1-499CE60B8516}"/>
            </a:ext>
            <a:ext uri="{147F2762-F138-4A5C-976F-8EAC2B608ADB}">
              <a16:predDERef xmlns:a16="http://schemas.microsoft.com/office/drawing/2014/main" pre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envnt/Downloads/BOG%20Digital%20Transformation_Variance%20Sheet_Feb%20(3).xlsx" TargetMode="External"/><Relationship Id="rId2" Type="http://schemas.openxmlformats.org/officeDocument/2006/relationships/externalLinkPath" Target="file:///C:\Users\envnt\Downloads\BOG%20Digital%20Transformation_Variance%20Sheet_Feb%20(3).xlsx" TargetMode="External"/><Relationship Id="rId1" Type="http://schemas.openxmlformats.org/officeDocument/2006/relationships/externalLinkPath" Target="/Users/envnt/Downloads/BOG%20Digital%20Transformation_Variance%20Sheet_Feb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udget - Development"/>
      <sheetName val="Estimated Cost - Development"/>
      <sheetName val="Budget - Support"/>
      <sheetName val="Estimated Cost - Support"/>
      <sheetName val="Help"/>
      <sheetName val="Budget - Consultation"/>
      <sheetName val="Estimated Cost - Consultation"/>
      <sheetName val="Profitability - Consultation"/>
      <sheetName val="Estimated Cost (2)"/>
      <sheetName val="Current Effort - Consultation"/>
      <sheetName val="Charts"/>
      <sheetName val="Positions2024"/>
      <sheetName val="Positions"/>
      <sheetName val="data"/>
      <sheetName val="BOG Digital Transformation_Vari"/>
      <sheetName val="Profitability"/>
      <sheetName val="Profitability - Develoop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Position</v>
          </cell>
          <cell r="B1" t="str">
            <v>Hour Rate</v>
          </cell>
        </row>
        <row r="2">
          <cell r="A2" t="str">
            <v>KSA - Technical Support</v>
          </cell>
          <cell r="B2">
            <v>56.25</v>
          </cell>
        </row>
        <row r="3">
          <cell r="A3" t="str">
            <v>KSA - Sr. Technical Support</v>
          </cell>
          <cell r="B3">
            <v>79.125</v>
          </cell>
        </row>
        <row r="4">
          <cell r="A4" t="str">
            <v>KSA - Software Engineer</v>
          </cell>
          <cell r="B4">
            <v>56.25</v>
          </cell>
        </row>
        <row r="5">
          <cell r="A5" t="str">
            <v>KSA - Sr. Software Engineer</v>
          </cell>
          <cell r="B5">
            <v>79.125</v>
          </cell>
        </row>
        <row r="6">
          <cell r="A6" t="str">
            <v>KSA - Lead Software Engineer</v>
          </cell>
          <cell r="B6">
            <v>87</v>
          </cell>
        </row>
        <row r="7">
          <cell r="A7" t="str">
            <v>KSA - Business Analyst</v>
          </cell>
          <cell r="B7">
            <v>56.25</v>
          </cell>
        </row>
        <row r="8">
          <cell r="A8" t="str">
            <v>KSA- Sr Business Analyst</v>
          </cell>
          <cell r="B8">
            <v>79.125</v>
          </cell>
        </row>
        <row r="9">
          <cell r="A9" t="str">
            <v>KSA - Lead Business Analyst</v>
          </cell>
          <cell r="B9">
            <v>87</v>
          </cell>
        </row>
        <row r="10">
          <cell r="A10" t="str">
            <v>KSA - Solution Architect / Manager</v>
          </cell>
          <cell r="B10">
            <v>112.25</v>
          </cell>
        </row>
        <row r="11">
          <cell r="A11" t="str">
            <v>KSA - Project Manager</v>
          </cell>
          <cell r="B11">
            <v>112.25</v>
          </cell>
        </row>
        <row r="12">
          <cell r="A12" t="str">
            <v>EGY - Software Engineer</v>
          </cell>
          <cell r="B12">
            <v>27.875</v>
          </cell>
        </row>
        <row r="13">
          <cell r="A13" t="str">
            <v>EGY - Sr. Software Engineer</v>
          </cell>
          <cell r="B13">
            <v>31.625</v>
          </cell>
        </row>
        <row r="14">
          <cell r="A14" t="str">
            <v>EGY - Lead Software Engineer</v>
          </cell>
          <cell r="B14">
            <v>34.625</v>
          </cell>
        </row>
        <row r="15">
          <cell r="A15" t="str">
            <v>EGY - Business Analyst</v>
          </cell>
          <cell r="B15">
            <v>27.875</v>
          </cell>
        </row>
        <row r="16">
          <cell r="A16" t="str">
            <v>EGY - Sr Business Analyst</v>
          </cell>
          <cell r="B16">
            <v>29.375</v>
          </cell>
        </row>
        <row r="17">
          <cell r="A17" t="str">
            <v>EGY - Lead Business Analyst</v>
          </cell>
          <cell r="B17">
            <v>34.625</v>
          </cell>
        </row>
        <row r="18">
          <cell r="A18" t="str">
            <v>EGY - Project Manager</v>
          </cell>
          <cell r="B18">
            <v>37.625</v>
          </cell>
        </row>
        <row r="19">
          <cell r="A19" t="str">
            <v>EGY - Quality Engineer</v>
          </cell>
          <cell r="B19">
            <v>27.875</v>
          </cell>
        </row>
        <row r="20">
          <cell r="A20" t="str">
            <v>EGY - Sr Quality Engineer</v>
          </cell>
          <cell r="B20">
            <v>31.625</v>
          </cell>
        </row>
        <row r="21">
          <cell r="A21" t="str">
            <v>EGY - Lead Quality Engineer</v>
          </cell>
          <cell r="B21">
            <v>34.625</v>
          </cell>
        </row>
        <row r="22">
          <cell r="A22" t="str">
            <v>EGY - UX Designer</v>
          </cell>
          <cell r="B22">
            <v>27.875</v>
          </cell>
        </row>
        <row r="23">
          <cell r="A23" t="str">
            <v>EGY - Sr UX Designer</v>
          </cell>
          <cell r="B23">
            <v>31.625</v>
          </cell>
        </row>
        <row r="24">
          <cell r="A24" t="str">
            <v>EGY - Lead UX Designer</v>
          </cell>
          <cell r="B24">
            <v>34.625</v>
          </cell>
        </row>
        <row r="25">
          <cell r="A25" t="str">
            <v>EGY - Software Engineer - onsite</v>
          </cell>
          <cell r="B25">
            <v>45.215000000000003</v>
          </cell>
        </row>
        <row r="26">
          <cell r="A26" t="str">
            <v>EGY - Sr. Software Engineer - onsite</v>
          </cell>
          <cell r="B26">
            <v>51.631250000000001</v>
          </cell>
        </row>
        <row r="27">
          <cell r="A27" t="str">
            <v>EGY - Lead Software Engineer - onsite</v>
          </cell>
          <cell r="B27">
            <v>58.298749999999998</v>
          </cell>
        </row>
        <row r="28">
          <cell r="A28" t="str">
            <v>EGY - Business Analyst - onsite</v>
          </cell>
          <cell r="B28">
            <v>45.215000000000003</v>
          </cell>
        </row>
        <row r="29">
          <cell r="A29" t="str">
            <v>EGY - Sr Business Analyst - onsite</v>
          </cell>
          <cell r="B29">
            <v>51.631250000000001</v>
          </cell>
        </row>
        <row r="30">
          <cell r="A30" t="str">
            <v>EGY - Lead Business Analyst - onsite</v>
          </cell>
          <cell r="B30">
            <v>58.298749999999998</v>
          </cell>
        </row>
        <row r="31">
          <cell r="A31" t="str">
            <v>EGY - Project Manager - onsite</v>
          </cell>
          <cell r="B31">
            <v>63.131250000000001</v>
          </cell>
        </row>
        <row r="32">
          <cell r="A32" t="str">
            <v>EGY - Quality Engineer - onsite</v>
          </cell>
          <cell r="B32">
            <v>45.215000000000003</v>
          </cell>
        </row>
        <row r="33">
          <cell r="A33" t="str">
            <v>EGY - Sr Quality Engineer - onsite</v>
          </cell>
          <cell r="B33">
            <v>51.631250000000001</v>
          </cell>
        </row>
        <row r="34">
          <cell r="A34" t="str">
            <v>EGY - Lead Quality Engineer - onsite</v>
          </cell>
          <cell r="B34">
            <v>58.298749999999998</v>
          </cell>
        </row>
        <row r="35">
          <cell r="A35" t="str">
            <v>EGY - UX Designer - onsite</v>
          </cell>
          <cell r="B35">
            <v>45.215000000000003</v>
          </cell>
        </row>
        <row r="36">
          <cell r="A36" t="str">
            <v>EGY - Sr UX Designer - onsite</v>
          </cell>
          <cell r="B36">
            <v>51.631250000000001</v>
          </cell>
        </row>
        <row r="37">
          <cell r="A37" t="str">
            <v>EGY - Lead UX Designer - onsite</v>
          </cell>
          <cell r="B37">
            <v>58.298749999999998</v>
          </cell>
        </row>
      </sheetData>
      <sheetData sheetId="12"/>
      <sheetData sheetId="13"/>
      <sheetData sheetId="14" refreshError="1"/>
      <sheetData sheetId="15" refreshError="1"/>
      <sheetData sheetId="1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haimaa ELShobary" id="{851FB20C-3EDA-46FB-B3FF-9247A2FD4AA7}" userId="S::Shaimaa.ELShobary@codelabsys.com::01b395ed-7e28-43d2-9ebb-34f98192fdbc" providerId="AD"/>
  <person displayName="Abdelrahman Doghish" id="{A379217A-D2E5-4453-B733-DAF2658D9938}" userId="S::Abdelrahman.doghish@codelabsys.com::3a691cdd-7db6-45ef-8de2-e0b4ac79fb8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Table_6710" displayName="Table_6710" ref="A3:I23" totalsRowCount="1">
  <tableColumns count="9">
    <tableColumn id="1" xr3:uid="{00000000-0010-0000-0000-000001000000}" name="Name" dataDxfId="81"/>
    <tableColumn id="2" xr3:uid="{00000000-0010-0000-0000-000002000000}" name="Position" dataDxfId="80"/>
    <tableColumn id="3" xr3:uid="{00000000-0010-0000-0000-000003000000}" name="Hour Rate ($)" dataDxfId="78" totalsRowDxfId="79">
      <calculatedColumnFormula>VLOOKUP(B:B,Positions!A:B,2,0)</calculatedColumnFormula>
    </tableColumn>
    <tableColumn id="4" xr3:uid="{00000000-0010-0000-0000-000004000000}" name="Actual Time (MH)" dataDxfId="76" totalsRowDxfId="77">
      <calculatedColumnFormula>22*8</calculatedColumnFormula>
    </tableColumn>
    <tableColumn id="6" xr3:uid="{00000000-0010-0000-0000-000006000000}" name="Onsite Rate ($)" dataDxfId="74" totalsRowDxfId="75">
      <calculatedColumnFormula>19+Table_6710[[#This Row],[Hour Rate ($)]]</calculatedColumnFormula>
    </tableColumn>
    <tableColumn id="7" xr3:uid="{00000000-0010-0000-0000-000007000000}" name="Actual Time Onsite (MH)" dataDxfId="72" totalsRowDxfId="73">
      <calculatedColumnFormula>22*8</calculatedColumnFormula>
    </tableColumn>
    <tableColumn id="5" xr3:uid="{00000000-0010-0000-0000-000005000000}" name="Total Cost" dataDxfId="70" totalsRowDxfId="71">
      <calculatedColumnFormula>D4*C4+Table_6710[[#This Row],[Onsite Rate ($)]]*Table_6710[[#This Row],[Actual Time Onsite (MH)]]</calculatedColumnFormula>
    </tableColumn>
    <tableColumn id="10" xr3:uid="{00000000-0010-0000-0000-00000A000000}" name="Cost * Period" dataDxfId="68" totalsRowDxfId="69">
      <calculatedColumnFormula>Table_6710[[#This Row],[Total Cost]]*6</calculatedColumnFormula>
    </tableColumn>
    <tableColumn id="8" xr3:uid="{00000000-0010-0000-0000-000008000000}" name="MD" totalsRowFunction="sum" dataDxfId="66" totalsRowDxfId="67">
      <calculatedColumnFormula>(Table_6710[[#This Row],[Actual Time (MH)]]*4)/8</calculatedColumnFormula>
    </tableColumn>
  </tableColumns>
  <tableStyleInfo name="OC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Table_67811" displayName="Table_67811" ref="A33:H35">
  <tableColumns count="8">
    <tableColumn id="1" xr3:uid="{00000000-0010-0000-0100-000001000000}" name="Name" dataDxfId="65"/>
    <tableColumn id="2" xr3:uid="{00000000-0010-0000-0100-000002000000}" name="Position" dataDxfId="64"/>
    <tableColumn id="3" xr3:uid="{00000000-0010-0000-0100-000003000000}" name="Hour Rate ($)" dataDxfId="63"/>
    <tableColumn id="4" xr3:uid="{00000000-0010-0000-0100-000004000000}" name="Actual Time (MH)" dataDxfId="62"/>
    <tableColumn id="6" xr3:uid="{00000000-0010-0000-0100-000006000000}" name="Onsite Rate ($)" dataDxfId="61"/>
    <tableColumn id="7" xr3:uid="{00000000-0010-0000-0100-000007000000}" name="Actual Time Onsite (MH)" dataDxfId="60"/>
    <tableColumn id="5" xr3:uid="{00000000-0010-0000-0100-000005000000}" name="Total Cost" dataDxfId="59"/>
    <tableColumn id="8" xr3:uid="{00000000-0010-0000-0100-000008000000}" name="MD" dataDxfId="58"/>
  </tableColumns>
  <tableStyleInfo name="OC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FDFE28-DC85-417F-936C-F381758E055C}" name="Table_67124" displayName="Table_67124" ref="A6:H27" totalsRowCount="1" headerRowDxfId="57">
  <tableColumns count="8">
    <tableColumn id="2" xr3:uid="{AECDF7F9-F529-45DF-9C1D-A9D1EA68E6CF}" name="Position" dataDxfId="56"/>
    <tableColumn id="3" xr3:uid="{92DB492D-6434-4901-99DB-F043DD8AACA1}" name="Hour Rate ($)" dataDxfId="54" totalsRowDxfId="55">
      <calculatedColumnFormula>VLOOKUP(A:A,[1]Positions2024!A:B,2,0)</calculatedColumnFormula>
    </tableColumn>
    <tableColumn id="4" xr3:uid="{0618BCB1-330D-4635-B56F-66DC3891B026}" name="Actual Time (MH)" dataDxfId="52" totalsRowDxfId="53"/>
    <tableColumn id="5" xr3:uid="{85BE3033-4086-452A-B24E-7EBB3B38BDC3}" name="Cost per month" dataDxfId="50" totalsRowDxfId="51">
      <calculatedColumnFormula>[1]!Table_67124[[#This Row],[Hour Rate ($)]]*[1]!Table_67124[[#This Row],[Actual Time (MH)]]</calculatedColumnFormula>
    </tableColumn>
    <tableColumn id="9" xr3:uid="{B0D09BD6-7149-401A-9408-4266A9BA629D}" name="Estimated # of Months" dataDxfId="48" totalsRowDxfId="49"/>
    <tableColumn id="8" xr3:uid="{4649A3FE-A59F-4BB7-A6A4-AA5FFDF8E181}" name="Total cost USD" totalsRowFunction="custom" dataDxfId="46" totalsRowDxfId="47" dataCellStyle="Comma">
      <calculatedColumnFormula>[1]!Table_67124[[#This Row],[Estimated '# of Months]]*[1]!Table_67124[[#This Row],[Cost per month]]</calculatedColumnFormula>
      <totalsRowFormula>SUM(Table_67124[Total cost USD])</totalsRowFormula>
    </tableColumn>
    <tableColumn id="10" xr3:uid="{80E1291B-6674-470B-BF2E-7E1310C875B9}" name="Total No of MDs" totalsRowFunction="sum" dataDxfId="44" totalsRowDxfId="45">
      <calculatedColumnFormula>([1]!Table_67124[[#This Row],[Actual Time (MH)]])*[1]!Table_67124[[#This Row],[Estimated '# of Months]]/8</calculatedColumnFormula>
    </tableColumn>
    <tableColumn id="6" xr3:uid="{4AF727DF-223F-4996-ACE5-60D25CD81E8D}" name="Column1" dataDxfId="43">
      <calculatedColumnFormula>[1]!Table_67124[[#This Row],[Total cost USD]]*3.75</calculatedColumnFormula>
    </tableColumn>
  </tableColumns>
  <tableStyleInfo name="OC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87CF9AE-FD58-49A0-BA88-44756231786D}" name="Table_6712" displayName="Table_6712" ref="A6:H17" totalsRowCount="1" headerRowDxfId="42">
  <tableColumns count="8">
    <tableColumn id="2" xr3:uid="{5CB609EC-28C2-41A2-986F-D0CC9E0B3645}" name="Position" dataDxfId="41"/>
    <tableColumn id="3" xr3:uid="{94D5D804-F42B-4370-BC72-409D4416B0D8}" name="Hour Rate ($)" dataDxfId="39" totalsRowDxfId="40">
      <calculatedColumnFormula>VLOOKUP(A:A,Positions2024!A:B,2,0)</calculatedColumnFormula>
    </tableColumn>
    <tableColumn id="4" xr3:uid="{BEF77232-F11B-464C-ACD6-A1012CA26A22}" name="Actual Time (MH)" dataDxfId="37" totalsRowDxfId="38"/>
    <tableColumn id="5" xr3:uid="{5EE421C8-14C8-4392-A246-4127ADCFD40A}" name="Cost per month" dataDxfId="35" totalsRowDxfId="36">
      <calculatedColumnFormula>Table_6712[[#This Row],[Hour Rate ($)]]*Table_6712[[#This Row],[Actual Time (MH)]]</calculatedColumnFormula>
    </tableColumn>
    <tableColumn id="9" xr3:uid="{83512ED9-419C-47DD-BE1F-31A03A3C2D27}" name="Estimated # of Months" dataDxfId="33" totalsRowDxfId="34"/>
    <tableColumn id="8" xr3:uid="{CDC9B6F3-472F-42F0-9765-914CD3C69E5E}" name="Total cost USD" totalsRowFunction="custom" dataDxfId="31" totalsRowDxfId="32" dataCellStyle="Comma">
      <calculatedColumnFormula>Table_6712[[#This Row],[Estimated '# of Months]]*Table_6712[[#This Row],[Cost per month]]</calculatedColumnFormula>
      <totalsRowFormula>SUM(Table_6712[Total cost USD])</totalsRowFormula>
    </tableColumn>
    <tableColumn id="10" xr3:uid="{CE28169F-B5A5-4941-B8BC-491BD012C1EB}" name="Total No of MDs" totalsRowFunction="sum" dataDxfId="29" totalsRowDxfId="30">
      <calculatedColumnFormula>(Table_6712[[#This Row],[Actual Time (MH)]])*Table_6712[[#This Row],[Estimated '# of Months]]/8</calculatedColumnFormula>
    </tableColumn>
    <tableColumn id="6" xr3:uid="{2988D3A7-45D2-414F-8FEB-476806E2D8CC}" name="Column1" dataDxfId="28">
      <calculatedColumnFormula>Table_6712[[#This Row],[Total cost USD]]*3.75</calculatedColumnFormula>
    </tableColumn>
  </tableColumns>
  <tableStyleInfo name="OC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53520D-0CEB-49B0-B8C3-D24CB0A8B12D}" name="Table_67122" displayName="Table_67122" ref="A6:H9" totalsRowCount="1" headerRowDxfId="27">
  <tableColumns count="8">
    <tableColumn id="2" xr3:uid="{6397F00D-6984-44F3-B9BD-3D96DC0A7D61}" name="Position" dataDxfId="26"/>
    <tableColumn id="3" xr3:uid="{B06C57C1-7FAF-4508-AB3A-BE84C8F86396}" name="Hour Rate ($)" dataDxfId="24" totalsRowDxfId="25">
      <calculatedColumnFormula>VLOOKUP(A:A,Positions2024!A:B,2,0)</calculatedColumnFormula>
    </tableColumn>
    <tableColumn id="4" xr3:uid="{A67A4729-4BD2-4D4D-94D7-12FBDD46481A}" name="Actual Time (MH)" dataDxfId="22" totalsRowDxfId="23"/>
    <tableColumn id="5" xr3:uid="{8BD6DBB3-8268-4FF6-A6BF-F36FE69A5829}" name="Cost per month" dataDxfId="20" totalsRowDxfId="21">
      <calculatedColumnFormula>Table_67122[[#This Row],[Hour Rate ($)]]*Table_67122[[#This Row],[Actual Time (MH)]]</calculatedColumnFormula>
    </tableColumn>
    <tableColumn id="9" xr3:uid="{F49AC001-09F3-4488-83F1-5D6E8067BD86}" name="Estimated # of Months" dataDxfId="18" totalsRowDxfId="19"/>
    <tableColumn id="8" xr3:uid="{003F4F56-2F18-41FD-BD66-8F201C2355F0}" name="Total cost USD" totalsRowFunction="custom" dataDxfId="16" totalsRowDxfId="17" dataCellStyle="Comma">
      <calculatedColumnFormula>Table_67122[[#This Row],[Estimated '# of Months]]*Table_67122[[#This Row],[Cost per month]]</calculatedColumnFormula>
      <totalsRowFormula>SUM(Table_67122[Total cost USD])</totalsRowFormula>
    </tableColumn>
    <tableColumn id="10" xr3:uid="{1888843B-7B3D-4918-8FA7-A9023D5EE472}" name="Total No of MDs" totalsRowFunction="sum" dataDxfId="14" totalsRowDxfId="15">
      <calculatedColumnFormula>(Table_67122[[#This Row],[Actual Time (MH)]])*Table_67122[[#This Row],[Estimated '# of Months]]/8</calculatedColumnFormula>
    </tableColumn>
    <tableColumn id="6" xr3:uid="{3CAE2725-175C-432B-9F71-BF7363FE3400}" name="Column1" dataDxfId="13">
      <calculatedColumnFormula>Table_67122[[#This Row],[Total cost USD]]*3.75</calculatedColumnFormula>
    </tableColumn>
  </tableColumns>
  <tableStyleInfo name="OC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EED0AE-75CF-4F2E-A85F-F8BF155336CB}" name="Table_17" displayName="Table_17" ref="A1:C37" headerRowDxfId="12" totalsRowDxfId="11">
  <tableColumns count="3">
    <tableColumn id="1" xr3:uid="{C70EAB7B-F8FD-4507-921A-087716579E05}" name="Position" dataDxfId="10"/>
    <tableColumn id="2" xr3:uid="{3E4197F3-32BD-4548-BB1F-E8F635CA1688}" name="Hour Rate" dataDxfId="9">
      <calculatedColumnFormula>C2/8</calculatedColumnFormula>
    </tableColumn>
    <tableColumn id="3" xr3:uid="{6936B2CB-DBB8-4FD6-8E22-FCE56A045031}" name="MD Rate" dataDxfId="8"/>
  </tableColumns>
  <tableStyleInfo name="TableStyleMedium4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Table_1" displayName="Table_1" ref="A1:C24">
  <tableColumns count="3">
    <tableColumn id="1" xr3:uid="{00000000-0010-0000-0600-000001000000}" name="Position" dataDxfId="7"/>
    <tableColumn id="2" xr3:uid="{00000000-0010-0000-0600-000002000000}" name="Hour Rate" dataDxfId="6">
      <calculatedColumnFormula>Table_1[[#This Row],[MD Rate]]/8</calculatedColumnFormula>
    </tableColumn>
    <tableColumn id="3" xr3:uid="{00000000-0010-0000-0600-000003000000}" name="MD Rate" dataDxfId="5" dataCellStyle="Comma"/>
  </tableColumns>
  <tableStyleInfo name="Positions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E74630-F3E0-4C7F-879E-EB9C84668D44}" name="Table_175" displayName="Table_175" ref="A1:C37" headerRowDxfId="4" totalsRowDxfId="3">
  <tableColumns count="3">
    <tableColumn id="1" xr3:uid="{68FF871B-2D10-489B-B663-F68E9B9BFDB5}" name="Position" dataDxfId="2"/>
    <tableColumn id="2" xr3:uid="{480F4DE7-94FB-42EE-A04B-01FFBB03A07B}" name="Hour Rate" dataDxfId="1">
      <calculatedColumnFormula>C2/8</calculatedColumnFormula>
    </tableColumn>
    <tableColumn id="3" xr3:uid="{9D4F20B6-3B71-46FC-80DE-7FAB703B9751}" name="MD Rate" dataDxfId="0"/>
  </tableColumns>
  <tableStyleInfo name="TableStyleMedium4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9" dT="2026-04-12T00:15:32.65" personId="{851FB20C-3EDA-46FB-B3FF-9247A2FD4AA7}" id="{90FD7038-0988-4EF8-A168-D471F6749CDA}">
    <text>Need to revisit</text>
  </threadedComment>
  <threadedComment ref="AA9" dT="2026-04-12T00:17:01.59" personId="{851FB20C-3EDA-46FB-B3FF-9247A2FD4AA7}" id="{D163F3AA-0745-48DF-B51A-775E57149DA0}">
    <text>Please Correct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7" dT="2025-09-10T12:43:06.58" personId="{A379217A-D2E5-4453-B733-DAF2658D9938}" id="{2359AA8C-5B23-4A84-AAED-05047506C415}">
    <text>10 as pre sales or 12 as phase duration?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showGridLines="0" topLeftCell="C6" zoomScaleNormal="100" workbookViewId="0">
      <selection activeCell="E17" sqref="E17"/>
    </sheetView>
  </sheetViews>
  <sheetFormatPr defaultRowHeight="14.1"/>
  <cols>
    <col min="1" max="1" width="2.375" customWidth="1"/>
    <col min="2" max="2" width="3.375" bestFit="1" customWidth="1"/>
    <col min="3" max="3" width="42.375" customWidth="1"/>
    <col min="4" max="4" width="17.375" customWidth="1"/>
    <col min="5" max="5" width="18.375" customWidth="1"/>
    <col min="6" max="6" width="14.375" customWidth="1"/>
    <col min="7" max="7" width="18.375" customWidth="1"/>
    <col min="8" max="8" width="17.375" customWidth="1"/>
    <col min="9" max="9" width="19.375" customWidth="1"/>
    <col min="10" max="10" width="20.375" customWidth="1"/>
    <col min="11" max="11" width="16.375" bestFit="1" customWidth="1"/>
  </cols>
  <sheetData>
    <row r="1" spans="1:10" ht="24.95">
      <c r="A1" s="86" t="s">
        <v>0</v>
      </c>
    </row>
    <row r="2" spans="1:10" ht="15.75" customHeight="1">
      <c r="B2" s="255"/>
      <c r="C2" s="256"/>
      <c r="D2" s="256"/>
      <c r="E2" s="257"/>
      <c r="G2" s="249" t="s">
        <v>1</v>
      </c>
      <c r="H2" s="250"/>
      <c r="I2" s="250"/>
      <c r="J2" s="250"/>
    </row>
    <row r="3" spans="1:10" ht="15.75" customHeight="1">
      <c r="B3" s="258"/>
      <c r="C3" s="96" t="s">
        <v>2</v>
      </c>
      <c r="D3" s="263"/>
      <c r="E3" s="264"/>
      <c r="G3" s="96" t="s">
        <v>3</v>
      </c>
      <c r="H3" s="96" t="s">
        <v>4</v>
      </c>
      <c r="I3" s="96" t="s">
        <v>5</v>
      </c>
      <c r="J3" s="96" t="s">
        <v>6</v>
      </c>
    </row>
    <row r="4" spans="1:10" ht="14.45">
      <c r="B4" s="259"/>
      <c r="C4" s="96" t="s">
        <v>7</v>
      </c>
      <c r="D4" s="265"/>
      <c r="E4" s="266"/>
      <c r="G4" s="10"/>
      <c r="H4" s="10"/>
      <c r="I4" s="200"/>
      <c r="J4" s="200"/>
    </row>
    <row r="5" spans="1:10" ht="14.45">
      <c r="B5" s="259"/>
      <c r="C5" s="96" t="s">
        <v>8</v>
      </c>
      <c r="D5" s="265"/>
      <c r="E5" s="266"/>
      <c r="G5" s="10"/>
      <c r="H5" s="10"/>
      <c r="I5" s="200"/>
      <c r="J5" s="201"/>
    </row>
    <row r="6" spans="1:10" ht="15.6">
      <c r="B6" s="259"/>
      <c r="C6" s="96" t="s">
        <v>9</v>
      </c>
      <c r="D6" s="265"/>
      <c r="E6" s="266"/>
      <c r="G6" s="10"/>
      <c r="H6" s="10"/>
      <c r="I6" s="50"/>
      <c r="J6" s="50"/>
    </row>
    <row r="7" spans="1:10" ht="15.6">
      <c r="B7" s="259"/>
      <c r="C7" s="96" t="s">
        <v>10</v>
      </c>
      <c r="D7" s="265"/>
      <c r="E7" s="266"/>
      <c r="G7" s="10"/>
      <c r="H7" s="10"/>
      <c r="I7" s="50"/>
      <c r="J7" s="50"/>
    </row>
    <row r="8" spans="1:10" ht="15.6">
      <c r="B8" s="259"/>
      <c r="C8" s="96" t="s">
        <v>11</v>
      </c>
      <c r="D8" s="265" t="s">
        <v>12</v>
      </c>
      <c r="E8" s="266"/>
      <c r="G8" s="10"/>
      <c r="H8" s="10"/>
      <c r="I8" s="50"/>
      <c r="J8" s="50"/>
    </row>
    <row r="9" spans="1:10" ht="15.6">
      <c r="B9" s="260"/>
      <c r="C9" s="96" t="s">
        <v>13</v>
      </c>
      <c r="D9" s="265"/>
      <c r="E9" s="266"/>
      <c r="G9" s="10"/>
      <c r="H9" s="10"/>
      <c r="I9" s="50"/>
      <c r="J9" s="50"/>
    </row>
    <row r="10" spans="1:10" ht="15.6">
      <c r="B10" s="84"/>
      <c r="C10" s="96" t="s">
        <v>14</v>
      </c>
      <c r="D10" s="32">
        <v>46525</v>
      </c>
      <c r="E10" s="32">
        <v>46890</v>
      </c>
      <c r="G10" s="10"/>
      <c r="H10" s="10"/>
      <c r="I10" s="50"/>
      <c r="J10" s="50"/>
    </row>
    <row r="11" spans="1:10" ht="15.6">
      <c r="B11" s="84"/>
      <c r="C11" s="96" t="s">
        <v>15</v>
      </c>
      <c r="D11" s="267">
        <f>'Profitability - Consultation'!Q1</f>
        <v>0</v>
      </c>
      <c r="E11" s="268"/>
      <c r="G11" s="10"/>
      <c r="H11" s="10"/>
      <c r="I11" s="50"/>
      <c r="J11" s="50"/>
    </row>
    <row r="12" spans="1:10" ht="21.75" customHeight="1">
      <c r="B12" s="12" t="s">
        <v>16</v>
      </c>
      <c r="C12" s="261" t="s">
        <v>17</v>
      </c>
      <c r="D12" s="262"/>
      <c r="E12" s="60">
        <f>Table_6712[[#Totals],[Total No of MDs]]</f>
        <v>1848</v>
      </c>
      <c r="G12" s="245" t="s">
        <v>18</v>
      </c>
      <c r="H12" s="246"/>
      <c r="I12" s="14">
        <f>SUM(I4:I8)</f>
        <v>0</v>
      </c>
      <c r="J12" s="14">
        <f>SUM(J4:J8)</f>
        <v>0</v>
      </c>
    </row>
    <row r="13" spans="1:10" ht="21.75" customHeight="1">
      <c r="B13" s="97"/>
      <c r="C13" s="98"/>
      <c r="D13" s="98"/>
      <c r="E13" s="102"/>
      <c r="G13" s="99"/>
      <c r="H13" s="99"/>
      <c r="I13" s="100"/>
      <c r="J13" s="101"/>
    </row>
    <row r="14" spans="1:10" ht="15.75" customHeight="1">
      <c r="B14" s="255" t="s">
        <v>19</v>
      </c>
      <c r="C14" s="256"/>
      <c r="D14" s="256"/>
      <c r="E14" s="257"/>
      <c r="F14" s="103"/>
      <c r="G14" s="107" t="s">
        <v>20</v>
      </c>
      <c r="H14" s="108"/>
      <c r="I14" s="109"/>
    </row>
    <row r="15" spans="1:10" ht="21.75" customHeight="1">
      <c r="B15" s="12" t="s">
        <v>21</v>
      </c>
      <c r="C15" s="261" t="s">
        <v>22</v>
      </c>
      <c r="D15" s="262"/>
      <c r="E15" s="75">
        <f>Table_6712[[#Totals],[Total cost USD]]</f>
        <v>1283040</v>
      </c>
      <c r="F15" s="103"/>
      <c r="G15" s="245" t="s">
        <v>23</v>
      </c>
      <c r="H15" s="246"/>
      <c r="I15" s="106">
        <f>E16+I12</f>
        <v>4811400</v>
      </c>
      <c r="J15" s="37"/>
    </row>
    <row r="16" spans="1:10" ht="21.75" customHeight="1">
      <c r="B16" s="12" t="s">
        <v>24</v>
      </c>
      <c r="C16" s="251" t="s">
        <v>25</v>
      </c>
      <c r="D16" s="252"/>
      <c r="E16" s="50">
        <f>'Estimated Cost - Consultation'!D23</f>
        <v>4811400</v>
      </c>
      <c r="F16" s="104"/>
      <c r="G16" s="247" t="s">
        <v>26</v>
      </c>
      <c r="H16" s="248"/>
      <c r="I16" s="105">
        <f>E17+J12</f>
        <v>6641250</v>
      </c>
    </row>
    <row r="17" spans="2:11" ht="21.75" customHeight="1">
      <c r="B17" s="12" t="s">
        <v>27</v>
      </c>
      <c r="C17" s="251" t="s">
        <v>28</v>
      </c>
      <c r="D17" s="252"/>
      <c r="E17" s="74">
        <v>6641250</v>
      </c>
      <c r="F17" s="104">
        <v>10312459</v>
      </c>
      <c r="G17" s="247" t="s">
        <v>29</v>
      </c>
      <c r="H17" s="248"/>
      <c r="I17" s="105">
        <f>I16-I15</f>
        <v>1829850</v>
      </c>
    </row>
    <row r="18" spans="2:11" ht="21.75" customHeight="1">
      <c r="B18" s="12" t="s">
        <v>30</v>
      </c>
      <c r="C18" s="251" t="s">
        <v>29</v>
      </c>
      <c r="D18" s="252"/>
      <c r="E18" s="51">
        <f>E17-E16</f>
        <v>1829850</v>
      </c>
      <c r="F18" s="103"/>
      <c r="G18" s="269" t="s">
        <v>31</v>
      </c>
      <c r="H18" s="270"/>
      <c r="I18" s="52">
        <f>I17/I16</f>
        <v>0.27552795031055899</v>
      </c>
      <c r="J18" s="37"/>
      <c r="K18" s="69"/>
    </row>
    <row r="19" spans="2:11" ht="21.75" customHeight="1">
      <c r="B19" s="12" t="s">
        <v>32</v>
      </c>
      <c r="C19" s="253" t="s">
        <v>31</v>
      </c>
      <c r="D19" s="254"/>
      <c r="E19" s="52">
        <f>E18/E17</f>
        <v>0.27552795031055899</v>
      </c>
    </row>
    <row r="21" spans="2:11" ht="15.6">
      <c r="C21" s="253" t="s">
        <v>33</v>
      </c>
      <c r="D21" s="254"/>
      <c r="E21" s="51">
        <f>E16/E12</f>
        <v>2603.5714285714284</v>
      </c>
      <c r="F21" s="37"/>
      <c r="G21" s="59"/>
      <c r="J21" s="66"/>
    </row>
    <row r="22" spans="2:11">
      <c r="C22" s="36"/>
      <c r="D22" s="36"/>
      <c r="E22" s="36"/>
      <c r="F22" s="58"/>
    </row>
    <row r="23" spans="2:11" ht="15.75" customHeight="1">
      <c r="C23" s="253" t="s">
        <v>34</v>
      </c>
      <c r="D23" s="254"/>
      <c r="E23" s="51">
        <f>E17/E12</f>
        <v>3593.75</v>
      </c>
    </row>
    <row r="24" spans="2:11">
      <c r="C24" s="36"/>
      <c r="D24" s="36"/>
    </row>
    <row r="25" spans="2:11" ht="15.75" customHeight="1">
      <c r="B25" s="250" t="s">
        <v>35</v>
      </c>
      <c r="C25" s="250"/>
      <c r="D25" s="250"/>
      <c r="E25" s="250"/>
      <c r="F25" s="250"/>
      <c r="G25" s="250"/>
    </row>
    <row r="26" spans="2:11">
      <c r="B26" s="15" t="s">
        <v>36</v>
      </c>
      <c r="C26" s="13" t="s">
        <v>37</v>
      </c>
      <c r="D26" s="15" t="s">
        <v>38</v>
      </c>
      <c r="E26" s="15" t="s">
        <v>39</v>
      </c>
      <c r="F26" s="35" t="s">
        <v>40</v>
      </c>
      <c r="G26" s="35" t="s">
        <v>41</v>
      </c>
    </row>
    <row r="27" spans="2:11" ht="21" customHeight="1">
      <c r="B27" s="10">
        <v>1</v>
      </c>
      <c r="C27" s="10"/>
      <c r="D27" s="32"/>
      <c r="E27" s="33"/>
      <c r="F27" s="111" t="s">
        <v>42</v>
      </c>
      <c r="G27" s="32"/>
    </row>
    <row r="28" spans="2:11" ht="21" customHeight="1">
      <c r="B28" s="10">
        <v>2</v>
      </c>
      <c r="C28" s="10"/>
      <c r="D28" s="10"/>
      <c r="E28" s="34"/>
      <c r="F28" s="10" t="s">
        <v>43</v>
      </c>
      <c r="G28" s="10"/>
      <c r="K28" s="29"/>
    </row>
    <row r="29" spans="2:11" ht="21" customHeight="1">
      <c r="B29" s="10">
        <v>3</v>
      </c>
      <c r="C29" s="10"/>
      <c r="D29" s="10"/>
      <c r="E29" s="34"/>
      <c r="F29" s="10" t="s">
        <v>44</v>
      </c>
      <c r="G29" s="10"/>
    </row>
    <row r="30" spans="2:11" ht="21" customHeight="1">
      <c r="B30" s="10">
        <v>4</v>
      </c>
      <c r="C30" s="10"/>
      <c r="D30" s="10"/>
      <c r="E30" s="34"/>
      <c r="F30" s="10"/>
      <c r="G30" s="10"/>
      <c r="I30" s="58"/>
    </row>
    <row r="31" spans="2:11">
      <c r="B31" s="10">
        <v>5</v>
      </c>
      <c r="C31" s="10"/>
      <c r="D31" s="10"/>
      <c r="E31" s="34"/>
      <c r="F31" s="10"/>
      <c r="G31" s="10"/>
    </row>
    <row r="32" spans="2:11">
      <c r="B32" s="10">
        <v>6</v>
      </c>
      <c r="C32" s="10"/>
      <c r="D32" s="10"/>
      <c r="E32" s="34"/>
      <c r="F32" s="10"/>
      <c r="G32" s="10"/>
    </row>
    <row r="33" spans="2:7">
      <c r="B33" s="10">
        <v>7</v>
      </c>
      <c r="C33" s="10"/>
      <c r="D33" s="10"/>
      <c r="E33" s="34"/>
      <c r="F33" s="10"/>
      <c r="G33" s="10"/>
    </row>
    <row r="34" spans="2:7">
      <c r="B34" s="10">
        <v>8</v>
      </c>
      <c r="C34" s="10"/>
      <c r="D34" s="10"/>
      <c r="E34" s="34"/>
      <c r="F34" s="10"/>
      <c r="G34" s="10"/>
    </row>
    <row r="35" spans="2:7">
      <c r="B35" s="10">
        <v>9</v>
      </c>
      <c r="C35" s="10"/>
      <c r="D35" s="10"/>
      <c r="E35" s="34"/>
      <c r="F35" s="10"/>
      <c r="G35" s="10"/>
    </row>
    <row r="36" spans="2:7">
      <c r="B36" s="10">
        <v>10</v>
      </c>
      <c r="C36" s="10"/>
      <c r="D36" s="10"/>
      <c r="E36" s="34"/>
      <c r="F36" s="10"/>
      <c r="G36" s="10"/>
    </row>
  </sheetData>
  <mergeCells count="26">
    <mergeCell ref="G18:H18"/>
    <mergeCell ref="C18:D18"/>
    <mergeCell ref="C19:D19"/>
    <mergeCell ref="B25:G25"/>
    <mergeCell ref="C23:D23"/>
    <mergeCell ref="C17:D17"/>
    <mergeCell ref="C21:D21"/>
    <mergeCell ref="B2:E2"/>
    <mergeCell ref="B14:E14"/>
    <mergeCell ref="B3:B9"/>
    <mergeCell ref="C12:D12"/>
    <mergeCell ref="C15:D15"/>
    <mergeCell ref="C16:D16"/>
    <mergeCell ref="D3:E3"/>
    <mergeCell ref="D4:E4"/>
    <mergeCell ref="D5:E5"/>
    <mergeCell ref="D11:E11"/>
    <mergeCell ref="D6:E6"/>
    <mergeCell ref="D7:E7"/>
    <mergeCell ref="D9:E9"/>
    <mergeCell ref="D8:E8"/>
    <mergeCell ref="G15:H15"/>
    <mergeCell ref="G17:H17"/>
    <mergeCell ref="G16:H16"/>
    <mergeCell ref="G12:H12"/>
    <mergeCell ref="G2:J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A2B20-0056-4DC4-8EF4-333A6C4B925E}">
  <dimension ref="A1:K36"/>
  <sheetViews>
    <sheetView showGridLines="0" topLeftCell="A11" zoomScaleNormal="100" workbookViewId="0">
      <selection activeCell="E17" sqref="E17"/>
    </sheetView>
  </sheetViews>
  <sheetFormatPr defaultRowHeight="14.1"/>
  <cols>
    <col min="1" max="1" width="2.375" customWidth="1"/>
    <col min="2" max="2" width="3.375" bestFit="1" customWidth="1"/>
    <col min="3" max="3" width="42.375" customWidth="1"/>
    <col min="4" max="4" width="17.375" customWidth="1"/>
    <col min="5" max="5" width="18.375" customWidth="1"/>
    <col min="6" max="6" width="14.375" customWidth="1"/>
    <col min="7" max="7" width="18.375" customWidth="1"/>
    <col min="8" max="8" width="17.375" customWidth="1"/>
    <col min="9" max="9" width="19.375" customWidth="1"/>
    <col min="10" max="10" width="20.375" customWidth="1"/>
    <col min="11" max="11" width="16.375" bestFit="1" customWidth="1"/>
  </cols>
  <sheetData>
    <row r="1" spans="1:10" ht="24.95">
      <c r="A1" s="86" t="s">
        <v>0</v>
      </c>
    </row>
    <row r="2" spans="1:10" ht="15.75" customHeight="1">
      <c r="B2" s="255"/>
      <c r="C2" s="256"/>
      <c r="D2" s="256"/>
      <c r="E2" s="257"/>
      <c r="G2" s="249" t="s">
        <v>1</v>
      </c>
      <c r="H2" s="250"/>
      <c r="I2" s="250"/>
      <c r="J2" s="250"/>
    </row>
    <row r="3" spans="1:10" ht="15.75" customHeight="1">
      <c r="B3" s="258"/>
      <c r="C3" s="96" t="s">
        <v>2</v>
      </c>
      <c r="D3" s="263" t="s">
        <v>45</v>
      </c>
      <c r="E3" s="264"/>
      <c r="G3" s="96" t="s">
        <v>3</v>
      </c>
      <c r="H3" s="96" t="s">
        <v>4</v>
      </c>
      <c r="I3" s="96" t="s">
        <v>5</v>
      </c>
      <c r="J3" s="96" t="s">
        <v>6</v>
      </c>
    </row>
    <row r="4" spans="1:10" ht="14.45">
      <c r="B4" s="259"/>
      <c r="C4" s="96" t="s">
        <v>7</v>
      </c>
      <c r="D4" s="265"/>
      <c r="E4" s="266"/>
      <c r="G4" s="10" t="s">
        <v>46</v>
      </c>
      <c r="H4" s="10"/>
      <c r="J4" s="200">
        <v>-420000</v>
      </c>
    </row>
    <row r="5" spans="1:10" ht="14.45">
      <c r="B5" s="259"/>
      <c r="C5" s="96" t="s">
        <v>8</v>
      </c>
      <c r="D5" s="265"/>
      <c r="E5" s="266"/>
      <c r="G5" s="10" t="s">
        <v>47</v>
      </c>
      <c r="H5" s="10"/>
      <c r="I5" s="200"/>
      <c r="J5" s="200">
        <v>-3960000</v>
      </c>
    </row>
    <row r="6" spans="1:10" ht="15.6">
      <c r="B6" s="259"/>
      <c r="C6" s="96" t="s">
        <v>9</v>
      </c>
      <c r="D6" s="265"/>
      <c r="E6" s="266"/>
      <c r="G6" s="10"/>
      <c r="H6" s="10"/>
      <c r="I6" s="50"/>
      <c r="J6" s="200"/>
    </row>
    <row r="7" spans="1:10" ht="15.6">
      <c r="B7" s="259"/>
      <c r="C7" s="96" t="s">
        <v>10</v>
      </c>
      <c r="D7" s="265"/>
      <c r="E7" s="266"/>
      <c r="G7" s="10"/>
      <c r="H7" s="10"/>
      <c r="I7" s="50"/>
      <c r="J7" s="200"/>
    </row>
    <row r="8" spans="1:10" ht="15.6">
      <c r="B8" s="259"/>
      <c r="C8" s="96" t="s">
        <v>11</v>
      </c>
      <c r="D8" s="265" t="s">
        <v>12</v>
      </c>
      <c r="E8" s="266"/>
      <c r="G8" s="10"/>
      <c r="H8" s="10"/>
      <c r="I8" s="50"/>
      <c r="J8" s="200"/>
    </row>
    <row r="9" spans="1:10" ht="15.6">
      <c r="B9" s="260"/>
      <c r="C9" s="96" t="s">
        <v>13</v>
      </c>
      <c r="D9" s="265"/>
      <c r="E9" s="266"/>
      <c r="G9" s="10"/>
      <c r="H9" s="10"/>
      <c r="I9" s="50"/>
      <c r="J9" s="200"/>
    </row>
    <row r="10" spans="1:10" ht="15.6">
      <c r="B10" s="84"/>
      <c r="C10" s="96" t="s">
        <v>14</v>
      </c>
      <c r="D10" s="32">
        <v>46525</v>
      </c>
      <c r="E10" s="32">
        <v>46890</v>
      </c>
      <c r="G10" s="10"/>
      <c r="H10" s="10"/>
      <c r="I10" s="50"/>
      <c r="J10" s="200"/>
    </row>
    <row r="11" spans="1:10" ht="15.6">
      <c r="B11" s="84"/>
      <c r="C11" s="96" t="s">
        <v>15</v>
      </c>
      <c r="D11" s="267">
        <f>'Profitability - Consultation'!Q1</f>
        <v>0</v>
      </c>
      <c r="E11" s="268"/>
      <c r="G11" s="10"/>
      <c r="H11" s="10"/>
      <c r="I11" s="50"/>
      <c r="J11" s="200"/>
    </row>
    <row r="12" spans="1:10" ht="21.75" customHeight="1">
      <c r="B12" s="12" t="s">
        <v>16</v>
      </c>
      <c r="C12" s="261" t="s">
        <v>17</v>
      </c>
      <c r="D12" s="262"/>
      <c r="E12" s="60">
        <f>Table_67124[[#Totals],[Total No of MDs]]</f>
        <v>6556</v>
      </c>
      <c r="G12" s="245" t="s">
        <v>18</v>
      </c>
      <c r="H12" s="246"/>
      <c r="I12" s="14">
        <f>SUM(I4:I8)</f>
        <v>0</v>
      </c>
      <c r="J12" s="14">
        <f>SUM(J4:J8)</f>
        <v>-4380000</v>
      </c>
    </row>
    <row r="13" spans="1:10" ht="21.75" customHeight="1">
      <c r="B13" s="97"/>
      <c r="C13" s="98"/>
      <c r="D13" s="98"/>
      <c r="E13" s="102"/>
      <c r="G13" s="99"/>
      <c r="H13" s="99"/>
      <c r="I13" s="100"/>
      <c r="J13" s="101"/>
    </row>
    <row r="14" spans="1:10" ht="15.75" customHeight="1">
      <c r="B14" s="255" t="s">
        <v>19</v>
      </c>
      <c r="C14" s="256"/>
      <c r="D14" s="256"/>
      <c r="E14" s="257"/>
      <c r="F14" s="103"/>
      <c r="G14" s="107" t="s">
        <v>20</v>
      </c>
      <c r="H14" s="108"/>
      <c r="I14" s="109"/>
    </row>
    <row r="15" spans="1:10" ht="21.75" customHeight="1">
      <c r="B15" s="12" t="s">
        <v>21</v>
      </c>
      <c r="C15" s="261" t="s">
        <v>22</v>
      </c>
      <c r="D15" s="262"/>
      <c r="E15" s="75">
        <f>Table_67124[[#Totals],[Total cost USD]]</f>
        <v>2735436</v>
      </c>
      <c r="F15" s="103"/>
      <c r="G15" s="245" t="s">
        <v>23</v>
      </c>
      <c r="H15" s="246"/>
      <c r="I15" s="106">
        <f>E16+I12</f>
        <v>10257885</v>
      </c>
      <c r="J15" s="37"/>
    </row>
    <row r="16" spans="1:10" ht="21.75" customHeight="1">
      <c r="B16" s="12" t="s">
        <v>24</v>
      </c>
      <c r="C16" s="251" t="s">
        <v>25</v>
      </c>
      <c r="D16" s="252"/>
      <c r="E16" s="50">
        <f>'Estimated Cost - Development'!D33</f>
        <v>10257885</v>
      </c>
      <c r="F16" s="104"/>
      <c r="G16" s="247" t="s">
        <v>26</v>
      </c>
      <c r="H16" s="248"/>
      <c r="I16" s="105">
        <f>E17+J12</f>
        <v>16190344</v>
      </c>
    </row>
    <row r="17" spans="2:11" ht="21.75" customHeight="1">
      <c r="B17" s="12" t="s">
        <v>27</v>
      </c>
      <c r="C17" s="251" t="s">
        <v>28</v>
      </c>
      <c r="D17" s="252"/>
      <c r="E17" s="74">
        <v>20570344</v>
      </c>
      <c r="F17" s="104"/>
      <c r="G17" s="247" t="s">
        <v>29</v>
      </c>
      <c r="H17" s="248"/>
      <c r="I17" s="105">
        <f>I16-I15</f>
        <v>5932459</v>
      </c>
    </row>
    <row r="18" spans="2:11" ht="21.75" customHeight="1">
      <c r="B18" s="12" t="s">
        <v>30</v>
      </c>
      <c r="C18" s="251" t="s">
        <v>29</v>
      </c>
      <c r="D18" s="252"/>
      <c r="E18" s="51">
        <f>E17-E16</f>
        <v>10312459</v>
      </c>
      <c r="F18" s="103"/>
      <c r="G18" s="269" t="s">
        <v>31</v>
      </c>
      <c r="H18" s="270"/>
      <c r="I18" s="52">
        <f>I17/I16</f>
        <v>0.36641957700219341</v>
      </c>
      <c r="J18" s="37"/>
      <c r="K18" s="69"/>
    </row>
    <row r="19" spans="2:11" ht="21.75" customHeight="1">
      <c r="B19" s="12" t="s">
        <v>32</v>
      </c>
      <c r="C19" s="253" t="s">
        <v>31</v>
      </c>
      <c r="D19" s="254"/>
      <c r="E19" s="52">
        <f>E18/E17</f>
        <v>0.50132652132604105</v>
      </c>
    </row>
    <row r="21" spans="2:11" ht="15.6">
      <c r="C21" s="253" t="s">
        <v>33</v>
      </c>
      <c r="D21" s="254"/>
      <c r="E21" s="51">
        <f>E16/E12</f>
        <v>1564.6560402684563</v>
      </c>
      <c r="F21" s="37"/>
      <c r="G21" s="59"/>
      <c r="J21" s="66"/>
    </row>
    <row r="22" spans="2:11">
      <c r="C22" s="36"/>
      <c r="D22" s="36"/>
      <c r="E22" s="36"/>
      <c r="F22" s="58"/>
    </row>
    <row r="23" spans="2:11" ht="15.75" customHeight="1">
      <c r="C23" s="253" t="s">
        <v>34</v>
      </c>
      <c r="D23" s="254"/>
      <c r="E23" s="51">
        <f>E17/E12</f>
        <v>3137.6363636363635</v>
      </c>
    </row>
    <row r="24" spans="2:11">
      <c r="C24" s="36"/>
      <c r="D24" s="36"/>
    </row>
    <row r="25" spans="2:11" ht="15.75" customHeight="1">
      <c r="B25" s="250" t="s">
        <v>35</v>
      </c>
      <c r="C25" s="250"/>
      <c r="D25" s="250"/>
      <c r="E25" s="250"/>
      <c r="F25" s="250"/>
      <c r="G25" s="250"/>
    </row>
    <row r="26" spans="2:11">
      <c r="B26" s="15" t="s">
        <v>36</v>
      </c>
      <c r="C26" s="13" t="s">
        <v>37</v>
      </c>
      <c r="D26" s="15" t="s">
        <v>38</v>
      </c>
      <c r="E26" s="15" t="s">
        <v>39</v>
      </c>
      <c r="F26" s="35" t="s">
        <v>40</v>
      </c>
      <c r="G26" s="35" t="s">
        <v>41</v>
      </c>
    </row>
    <row r="27" spans="2:11" ht="21" customHeight="1">
      <c r="B27" s="10">
        <v>1</v>
      </c>
      <c r="C27" s="10"/>
      <c r="D27" s="32"/>
      <c r="E27" s="33"/>
      <c r="F27" s="111" t="s">
        <v>42</v>
      </c>
      <c r="G27" s="32"/>
    </row>
    <row r="28" spans="2:11" ht="21" customHeight="1">
      <c r="B28" s="10">
        <v>2</v>
      </c>
      <c r="C28" s="10"/>
      <c r="D28" s="10"/>
      <c r="E28" s="34"/>
      <c r="F28" s="10" t="s">
        <v>43</v>
      </c>
      <c r="G28" s="10"/>
      <c r="K28" s="29"/>
    </row>
    <row r="29" spans="2:11" ht="21" customHeight="1">
      <c r="B29" s="10">
        <v>3</v>
      </c>
      <c r="C29" s="10"/>
      <c r="D29" s="10"/>
      <c r="E29" s="34"/>
      <c r="F29" s="10" t="s">
        <v>44</v>
      </c>
      <c r="G29" s="10"/>
    </row>
    <row r="30" spans="2:11" ht="21" customHeight="1">
      <c r="B30" s="10">
        <v>4</v>
      </c>
      <c r="C30" s="10"/>
      <c r="D30" s="10"/>
      <c r="E30" s="34"/>
      <c r="F30" s="10"/>
      <c r="G30" s="10"/>
      <c r="I30" s="58"/>
    </row>
    <row r="31" spans="2:11">
      <c r="B31" s="10">
        <v>5</v>
      </c>
      <c r="C31" s="10"/>
      <c r="D31" s="10"/>
      <c r="E31" s="34"/>
      <c r="F31" s="10"/>
      <c r="G31" s="10"/>
    </row>
    <row r="32" spans="2:11">
      <c r="B32" s="10">
        <v>6</v>
      </c>
      <c r="C32" s="10"/>
      <c r="D32" s="10"/>
      <c r="E32" s="34"/>
      <c r="F32" s="10"/>
      <c r="G32" s="10"/>
    </row>
    <row r="33" spans="2:7">
      <c r="B33" s="10">
        <v>7</v>
      </c>
      <c r="C33" s="10"/>
      <c r="D33" s="10"/>
      <c r="E33" s="34"/>
      <c r="F33" s="10"/>
      <c r="G33" s="10"/>
    </row>
    <row r="34" spans="2:7">
      <c r="B34" s="10">
        <v>8</v>
      </c>
      <c r="C34" s="10"/>
      <c r="D34" s="10"/>
      <c r="E34" s="34"/>
      <c r="F34" s="10"/>
      <c r="G34" s="10"/>
    </row>
    <row r="35" spans="2:7">
      <c r="B35" s="10">
        <v>9</v>
      </c>
      <c r="C35" s="10"/>
      <c r="D35" s="10"/>
      <c r="E35" s="34"/>
      <c r="F35" s="10"/>
      <c r="G35" s="10"/>
    </row>
    <row r="36" spans="2:7">
      <c r="B36" s="10">
        <v>10</v>
      </c>
      <c r="C36" s="10"/>
      <c r="D36" s="10"/>
      <c r="E36" s="34"/>
      <c r="F36" s="10"/>
      <c r="G36" s="10"/>
    </row>
  </sheetData>
  <mergeCells count="26">
    <mergeCell ref="C19:D19"/>
    <mergeCell ref="C21:D21"/>
    <mergeCell ref="C23:D23"/>
    <mergeCell ref="B25:G25"/>
    <mergeCell ref="C16:D16"/>
    <mergeCell ref="G16:H16"/>
    <mergeCell ref="C17:D17"/>
    <mergeCell ref="G17:H17"/>
    <mergeCell ref="C18:D18"/>
    <mergeCell ref="G18:H18"/>
    <mergeCell ref="D11:E11"/>
    <mergeCell ref="C12:D12"/>
    <mergeCell ref="G12:H12"/>
    <mergeCell ref="B14:E14"/>
    <mergeCell ref="C15:D15"/>
    <mergeCell ref="G15:H15"/>
    <mergeCell ref="B2:E2"/>
    <mergeCell ref="G2:J2"/>
    <mergeCell ref="B3:B9"/>
    <mergeCell ref="D3:E3"/>
    <mergeCell ref="D4:E4"/>
    <mergeCell ref="D5:E5"/>
    <mergeCell ref="D6:E6"/>
    <mergeCell ref="D7:E7"/>
    <mergeCell ref="D8:E8"/>
    <mergeCell ref="D9:E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44B67-9415-4791-870A-E823B44400D2}">
  <dimension ref="A1:K36"/>
  <sheetViews>
    <sheetView showGridLines="0" topLeftCell="A7" zoomScale="80" zoomScaleNormal="100" workbookViewId="0">
      <selection activeCell="E18" sqref="E18"/>
    </sheetView>
  </sheetViews>
  <sheetFormatPr defaultRowHeight="14.1"/>
  <cols>
    <col min="1" max="1" width="2.375" customWidth="1"/>
    <col min="2" max="2" width="3.375" bestFit="1" customWidth="1"/>
    <col min="3" max="3" width="42.375" customWidth="1"/>
    <col min="4" max="4" width="17.375" customWidth="1"/>
    <col min="5" max="5" width="18.375" customWidth="1"/>
    <col min="6" max="6" width="14.375" customWidth="1"/>
    <col min="7" max="7" width="18.375" customWidth="1"/>
    <col min="8" max="8" width="17.375" customWidth="1"/>
    <col min="9" max="9" width="19.375" customWidth="1"/>
    <col min="10" max="10" width="20.375" customWidth="1"/>
    <col min="11" max="11" width="16.375" bestFit="1" customWidth="1"/>
  </cols>
  <sheetData>
    <row r="1" spans="1:10" ht="24.95">
      <c r="A1" s="86" t="s">
        <v>0</v>
      </c>
    </row>
    <row r="2" spans="1:10" ht="15.75" customHeight="1">
      <c r="B2" s="255"/>
      <c r="C2" s="256"/>
      <c r="D2" s="256"/>
      <c r="E2" s="257"/>
      <c r="G2" s="249" t="s">
        <v>1</v>
      </c>
      <c r="H2" s="250"/>
      <c r="I2" s="250"/>
      <c r="J2" s="250"/>
    </row>
    <row r="3" spans="1:10" ht="15.75" customHeight="1">
      <c r="B3" s="258"/>
      <c r="C3" s="96" t="s">
        <v>2</v>
      </c>
      <c r="D3" s="263"/>
      <c r="E3" s="264"/>
      <c r="G3" s="96" t="s">
        <v>3</v>
      </c>
      <c r="H3" s="96" t="s">
        <v>4</v>
      </c>
      <c r="I3" s="96" t="s">
        <v>5</v>
      </c>
      <c r="J3" s="96" t="s">
        <v>6</v>
      </c>
    </row>
    <row r="4" spans="1:10" ht="14.45">
      <c r="B4" s="259"/>
      <c r="C4" s="96" t="s">
        <v>7</v>
      </c>
      <c r="D4" s="265"/>
      <c r="E4" s="266"/>
      <c r="G4" s="10"/>
      <c r="H4" s="10"/>
      <c r="I4" s="200"/>
      <c r="J4" s="200"/>
    </row>
    <row r="5" spans="1:10" ht="14.45">
      <c r="B5" s="259"/>
      <c r="C5" s="96" t="s">
        <v>8</v>
      </c>
      <c r="D5" s="265"/>
      <c r="E5" s="266"/>
      <c r="G5" s="10"/>
      <c r="H5" s="10"/>
      <c r="I5" s="200"/>
      <c r="J5" s="201"/>
    </row>
    <row r="6" spans="1:10" ht="15.6">
      <c r="B6" s="259"/>
      <c r="C6" s="96" t="s">
        <v>9</v>
      </c>
      <c r="D6" s="265"/>
      <c r="E6" s="266"/>
      <c r="G6" s="10"/>
      <c r="H6" s="10"/>
      <c r="I6" s="50"/>
      <c r="J6" s="50"/>
    </row>
    <row r="7" spans="1:10" ht="15.6">
      <c r="B7" s="259"/>
      <c r="C7" s="96" t="s">
        <v>10</v>
      </c>
      <c r="D7" s="265"/>
      <c r="E7" s="266"/>
      <c r="G7" s="10"/>
      <c r="H7" s="10"/>
      <c r="I7" s="50"/>
      <c r="J7" s="50"/>
    </row>
    <row r="8" spans="1:10" ht="15.6">
      <c r="B8" s="259"/>
      <c r="C8" s="96" t="s">
        <v>11</v>
      </c>
      <c r="D8" s="265" t="s">
        <v>12</v>
      </c>
      <c r="E8" s="266"/>
      <c r="G8" s="10"/>
      <c r="H8" s="10"/>
      <c r="I8" s="50"/>
      <c r="J8" s="50"/>
    </row>
    <row r="9" spans="1:10" ht="15.6">
      <c r="B9" s="260"/>
      <c r="C9" s="96" t="s">
        <v>13</v>
      </c>
      <c r="D9" s="265"/>
      <c r="E9" s="266"/>
      <c r="G9" s="10"/>
      <c r="H9" s="10"/>
      <c r="I9" s="50"/>
      <c r="J9" s="50"/>
    </row>
    <row r="10" spans="1:10" ht="15.6">
      <c r="B10" s="84"/>
      <c r="C10" s="96" t="s">
        <v>14</v>
      </c>
      <c r="D10" s="32">
        <v>46525</v>
      </c>
      <c r="E10" s="32">
        <v>46890</v>
      </c>
      <c r="G10" s="10"/>
      <c r="H10" s="10"/>
      <c r="I10" s="50"/>
      <c r="J10" s="50"/>
    </row>
    <row r="11" spans="1:10" ht="15.6">
      <c r="B11" s="84"/>
      <c r="C11" s="96" t="s">
        <v>15</v>
      </c>
      <c r="D11" s="267">
        <f>'Profitability - Consultation'!Q1</f>
        <v>0</v>
      </c>
      <c r="E11" s="268"/>
      <c r="G11" s="10"/>
      <c r="H11" s="10"/>
      <c r="I11" s="50"/>
      <c r="J11" s="50"/>
    </row>
    <row r="12" spans="1:10" ht="21.75" customHeight="1">
      <c r="B12" s="12" t="s">
        <v>16</v>
      </c>
      <c r="C12" s="261" t="s">
        <v>17</v>
      </c>
      <c r="D12" s="262"/>
      <c r="E12" s="60">
        <v>528</v>
      </c>
      <c r="G12" s="245" t="s">
        <v>18</v>
      </c>
      <c r="H12" s="246"/>
      <c r="I12" s="14">
        <v>0</v>
      </c>
      <c r="J12" s="14">
        <v>0</v>
      </c>
    </row>
    <row r="13" spans="1:10" ht="21.75" customHeight="1">
      <c r="B13" s="97"/>
      <c r="C13" s="98"/>
      <c r="D13" s="98"/>
      <c r="E13" s="102"/>
      <c r="G13" s="99"/>
      <c r="H13" s="99"/>
      <c r="I13" s="100"/>
      <c r="J13" s="101"/>
    </row>
    <row r="14" spans="1:10" ht="15.75" customHeight="1">
      <c r="B14" s="255" t="s">
        <v>19</v>
      </c>
      <c r="C14" s="256"/>
      <c r="D14" s="256"/>
      <c r="E14" s="257"/>
      <c r="F14" s="103"/>
      <c r="G14" s="107" t="s">
        <v>20</v>
      </c>
      <c r="H14" s="108"/>
      <c r="I14" s="109"/>
    </row>
    <row r="15" spans="1:10" ht="21.75" customHeight="1">
      <c r="B15" s="12" t="s">
        <v>21</v>
      </c>
      <c r="C15" s="261" t="s">
        <v>22</v>
      </c>
      <c r="D15" s="262"/>
      <c r="E15" s="75">
        <f>Table_67122[[#Totals],[Total cost USD]]</f>
        <v>285912</v>
      </c>
      <c r="F15" s="103"/>
      <c r="G15" s="245" t="s">
        <v>23</v>
      </c>
      <c r="H15" s="246"/>
      <c r="I15" s="106">
        <f>E16+I12</f>
        <v>1072170</v>
      </c>
      <c r="J15" s="37"/>
    </row>
    <row r="16" spans="1:10" ht="21.75" customHeight="1">
      <c r="B16" s="12" t="s">
        <v>24</v>
      </c>
      <c r="C16" s="251" t="s">
        <v>25</v>
      </c>
      <c r="D16" s="252"/>
      <c r="E16" s="50">
        <f>'Estimated Cost - Support'!D15</f>
        <v>1072170</v>
      </c>
      <c r="F16" s="104"/>
      <c r="G16" s="247" t="s">
        <v>26</v>
      </c>
      <c r="H16" s="248"/>
      <c r="I16" s="105">
        <f>E17+J12</f>
        <v>2079000</v>
      </c>
    </row>
    <row r="17" spans="2:11" ht="21.75" customHeight="1">
      <c r="B17" s="12" t="s">
        <v>27</v>
      </c>
      <c r="C17" s="251" t="s">
        <v>28</v>
      </c>
      <c r="D17" s="252"/>
      <c r="E17" s="74">
        <v>2079000</v>
      </c>
      <c r="F17" s="104"/>
      <c r="G17" s="247" t="s">
        <v>29</v>
      </c>
      <c r="H17" s="248"/>
      <c r="I17" s="51">
        <f>I16-I15</f>
        <v>1006830</v>
      </c>
    </row>
    <row r="18" spans="2:11" ht="21.75" customHeight="1">
      <c r="B18" s="12" t="s">
        <v>30</v>
      </c>
      <c r="C18" s="251" t="s">
        <v>29</v>
      </c>
      <c r="D18" s="252"/>
      <c r="E18" s="51">
        <f>E17-E16</f>
        <v>1006830</v>
      </c>
      <c r="F18" s="103"/>
      <c r="G18" s="269" t="s">
        <v>31</v>
      </c>
      <c r="H18" s="270"/>
      <c r="I18" s="52">
        <f>I17/I16</f>
        <v>0.48428571428571426</v>
      </c>
      <c r="J18" s="37"/>
      <c r="K18" s="69"/>
    </row>
    <row r="19" spans="2:11" ht="21.75" customHeight="1">
      <c r="B19" s="12" t="s">
        <v>32</v>
      </c>
      <c r="C19" s="253" t="s">
        <v>31</v>
      </c>
      <c r="D19" s="254"/>
      <c r="E19" s="52">
        <f>E18/E17</f>
        <v>0.48428571428571426</v>
      </c>
    </row>
    <row r="21" spans="2:11" ht="15.6">
      <c r="C21" s="253" t="s">
        <v>33</v>
      </c>
      <c r="D21" s="254"/>
      <c r="E21" s="51">
        <f>E16/E12</f>
        <v>2030.625</v>
      </c>
      <c r="F21" s="37"/>
      <c r="G21" s="59"/>
      <c r="J21" s="66"/>
    </row>
    <row r="22" spans="2:11">
      <c r="C22" s="36"/>
      <c r="D22" s="36"/>
      <c r="E22" s="36"/>
      <c r="F22" s="58"/>
    </row>
    <row r="23" spans="2:11" ht="15.75" customHeight="1">
      <c r="C23" s="253" t="s">
        <v>34</v>
      </c>
      <c r="D23" s="254"/>
      <c r="E23" s="51">
        <f>E17/E12</f>
        <v>3937.5</v>
      </c>
    </row>
    <row r="24" spans="2:11">
      <c r="C24" s="36"/>
      <c r="D24" s="36"/>
    </row>
    <row r="25" spans="2:11" ht="15.75" customHeight="1">
      <c r="B25" s="250" t="s">
        <v>35</v>
      </c>
      <c r="C25" s="250"/>
      <c r="D25" s="250"/>
      <c r="E25" s="250"/>
      <c r="F25" s="250"/>
      <c r="G25" s="250"/>
    </row>
    <row r="26" spans="2:11">
      <c r="B26" s="15" t="s">
        <v>36</v>
      </c>
      <c r="C26" s="13" t="s">
        <v>37</v>
      </c>
      <c r="D26" s="15" t="s">
        <v>38</v>
      </c>
      <c r="E26" s="15" t="s">
        <v>39</v>
      </c>
      <c r="F26" s="35" t="s">
        <v>40</v>
      </c>
      <c r="G26" s="35" t="s">
        <v>41</v>
      </c>
    </row>
    <row r="27" spans="2:11" ht="21" customHeight="1">
      <c r="B27" s="10">
        <v>1</v>
      </c>
      <c r="C27" s="10"/>
      <c r="D27" s="32"/>
      <c r="E27" s="33"/>
      <c r="F27" s="111" t="s">
        <v>42</v>
      </c>
      <c r="G27" s="32"/>
    </row>
    <row r="28" spans="2:11" ht="21" customHeight="1">
      <c r="B28" s="10">
        <v>2</v>
      </c>
      <c r="C28" s="10"/>
      <c r="D28" s="10"/>
      <c r="E28" s="34"/>
      <c r="F28" s="10" t="s">
        <v>43</v>
      </c>
      <c r="G28" s="10"/>
      <c r="K28" s="29"/>
    </row>
    <row r="29" spans="2:11" ht="21" customHeight="1">
      <c r="B29" s="10">
        <v>3</v>
      </c>
      <c r="C29" s="10"/>
      <c r="D29" s="10"/>
      <c r="E29" s="34"/>
      <c r="F29" s="10" t="s">
        <v>44</v>
      </c>
      <c r="G29" s="10"/>
    </row>
    <row r="30" spans="2:11" ht="21" customHeight="1">
      <c r="B30" s="10">
        <v>4</v>
      </c>
      <c r="C30" s="10"/>
      <c r="D30" s="10"/>
      <c r="E30" s="34"/>
      <c r="F30" s="10"/>
      <c r="G30" s="10"/>
      <c r="I30" s="58"/>
    </row>
    <row r="31" spans="2:11">
      <c r="B31" s="10">
        <v>5</v>
      </c>
      <c r="C31" s="10"/>
      <c r="D31" s="10"/>
      <c r="E31" s="34"/>
      <c r="F31" s="10"/>
      <c r="G31" s="10"/>
    </row>
    <row r="32" spans="2:11">
      <c r="B32" s="10">
        <v>6</v>
      </c>
      <c r="C32" s="10"/>
      <c r="D32" s="10"/>
      <c r="E32" s="34"/>
      <c r="F32" s="10"/>
      <c r="G32" s="10"/>
    </row>
    <row r="33" spans="2:7">
      <c r="B33" s="10">
        <v>7</v>
      </c>
      <c r="C33" s="10"/>
      <c r="D33" s="10"/>
      <c r="E33" s="34"/>
      <c r="F33" s="10"/>
      <c r="G33" s="10"/>
    </row>
    <row r="34" spans="2:7">
      <c r="B34" s="10">
        <v>8</v>
      </c>
      <c r="C34" s="10"/>
      <c r="D34" s="10"/>
      <c r="E34" s="34"/>
      <c r="F34" s="10"/>
      <c r="G34" s="10"/>
    </row>
    <row r="35" spans="2:7">
      <c r="B35" s="10">
        <v>9</v>
      </c>
      <c r="C35" s="10"/>
      <c r="D35" s="10"/>
      <c r="E35" s="34"/>
      <c r="F35" s="10"/>
      <c r="G35" s="10"/>
    </row>
    <row r="36" spans="2:7">
      <c r="B36" s="10">
        <v>10</v>
      </c>
      <c r="C36" s="10"/>
      <c r="D36" s="10"/>
      <c r="E36" s="34"/>
      <c r="F36" s="10"/>
      <c r="G36" s="10"/>
    </row>
  </sheetData>
  <mergeCells count="26">
    <mergeCell ref="B2:E2"/>
    <mergeCell ref="G2:J2"/>
    <mergeCell ref="B3:B9"/>
    <mergeCell ref="D3:E3"/>
    <mergeCell ref="D4:E4"/>
    <mergeCell ref="D5:E5"/>
    <mergeCell ref="D6:E6"/>
    <mergeCell ref="D7:E7"/>
    <mergeCell ref="D8:E8"/>
    <mergeCell ref="D9:E9"/>
    <mergeCell ref="D11:E11"/>
    <mergeCell ref="C12:D12"/>
    <mergeCell ref="G12:H12"/>
    <mergeCell ref="B14:E14"/>
    <mergeCell ref="C15:D15"/>
    <mergeCell ref="G15:H15"/>
    <mergeCell ref="C19:D19"/>
    <mergeCell ref="C21:D21"/>
    <mergeCell ref="C23:D23"/>
    <mergeCell ref="B25:G25"/>
    <mergeCell ref="C16:D16"/>
    <mergeCell ref="G16:H16"/>
    <mergeCell ref="C17:D17"/>
    <mergeCell ref="G17:H17"/>
    <mergeCell ref="C18:D18"/>
    <mergeCell ref="G18:H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1E2D-C5E4-4F95-8E3B-EBFC3BC3F68B}">
  <sheetPr>
    <tabColor rgb="FF0113FF"/>
  </sheetPr>
  <dimension ref="A1:AE44"/>
  <sheetViews>
    <sheetView showGridLines="0" topLeftCell="A3" zoomScale="53" zoomScaleNormal="80" workbookViewId="0">
      <selection activeCell="I14" sqref="I14"/>
    </sheetView>
  </sheetViews>
  <sheetFormatPr defaultRowHeight="14.1"/>
  <cols>
    <col min="1" max="1" width="19.375" customWidth="1"/>
    <col min="2" max="2" width="12.375" hidden="1" customWidth="1"/>
    <col min="3" max="4" width="13.125" bestFit="1" customWidth="1"/>
    <col min="5" max="5" width="12.375" customWidth="1"/>
    <col min="6" max="6" width="20.375" customWidth="1"/>
    <col min="7" max="7" width="15.25" bestFit="1" customWidth="1"/>
    <col min="8" max="8" width="11.375" customWidth="1"/>
    <col min="9" max="9" width="17" customWidth="1"/>
    <col min="10" max="10" width="19.75" customWidth="1"/>
    <col min="11" max="11" width="10.375" customWidth="1"/>
    <col min="12" max="13" width="12.375" customWidth="1"/>
    <col min="14" max="14" width="15.375" bestFit="1" customWidth="1"/>
    <col min="15" max="16" width="15.375" customWidth="1"/>
    <col min="17" max="17" width="30.625" customWidth="1"/>
    <col min="18" max="18" width="13.375" bestFit="1" customWidth="1"/>
    <col min="19" max="19" width="0.375" customWidth="1"/>
    <col min="20" max="20" width="16.625" bestFit="1" customWidth="1"/>
    <col min="21" max="21" width="17.375" customWidth="1"/>
    <col min="22" max="24" width="16.375" customWidth="1"/>
    <col min="25" max="25" width="10.75" customWidth="1"/>
    <col min="26" max="26" width="23.875" customWidth="1"/>
    <col min="27" max="27" width="12.375" bestFit="1" customWidth="1"/>
    <col min="28" max="28" width="13.375" customWidth="1"/>
    <col min="29" max="31" width="15.375" customWidth="1"/>
    <col min="34" max="34" width="13.375" customWidth="1"/>
    <col min="36" max="36" width="9.375" bestFit="1" customWidth="1"/>
  </cols>
  <sheetData>
    <row r="1" spans="1:31" ht="31.5" customHeight="1">
      <c r="A1" s="133" t="s">
        <v>2</v>
      </c>
      <c r="B1" s="135"/>
      <c r="C1" s="229"/>
      <c r="D1" s="229"/>
      <c r="E1" s="229"/>
      <c r="F1" s="136" t="s">
        <v>48</v>
      </c>
      <c r="G1" s="229"/>
      <c r="H1" s="229"/>
      <c r="I1" s="140"/>
      <c r="L1" s="1"/>
      <c r="M1" s="1"/>
      <c r="Y1" s="92"/>
    </row>
    <row r="2" spans="1:31" ht="31.5" customHeight="1">
      <c r="A2" s="138" t="s">
        <v>49</v>
      </c>
      <c r="B2" s="139"/>
      <c r="C2" s="230"/>
      <c r="D2" s="230"/>
      <c r="E2" s="230"/>
      <c r="F2" s="138" t="s">
        <v>50</v>
      </c>
      <c r="G2" s="230"/>
      <c r="H2" s="230"/>
      <c r="I2" s="141"/>
      <c r="J2" s="136" t="s">
        <v>51</v>
      </c>
      <c r="K2" s="231"/>
      <c r="L2" s="231"/>
      <c r="M2" s="231"/>
      <c r="N2" s="231"/>
      <c r="Y2" s="92"/>
    </row>
    <row r="3" spans="1:31" ht="31.5" customHeight="1">
      <c r="A3" s="137" t="s">
        <v>52</v>
      </c>
      <c r="B3" s="135"/>
      <c r="C3" s="232"/>
      <c r="D3" s="229"/>
      <c r="E3" s="229"/>
      <c r="F3" s="137" t="s">
        <v>53</v>
      </c>
      <c r="G3" s="229"/>
      <c r="H3" s="229"/>
      <c r="I3" s="140"/>
      <c r="K3" s="231"/>
      <c r="L3" s="231"/>
      <c r="M3" s="231"/>
      <c r="N3" s="231"/>
      <c r="Y3" s="92"/>
    </row>
    <row r="4" spans="1:31" ht="31.5" customHeight="1">
      <c r="A4" s="138" t="s">
        <v>54</v>
      </c>
      <c r="B4" s="139"/>
      <c r="C4" s="236"/>
      <c r="D4" s="236"/>
      <c r="E4" s="236"/>
      <c r="F4" s="138" t="s">
        <v>55</v>
      </c>
      <c r="G4" s="236"/>
      <c r="H4" s="236"/>
      <c r="I4" s="141"/>
      <c r="K4" s="1"/>
      <c r="L4" s="1"/>
      <c r="M4" s="1"/>
      <c r="Y4" s="92"/>
    </row>
    <row r="5" spans="1:31" ht="20.100000000000001">
      <c r="A5" s="149"/>
      <c r="B5" s="143"/>
      <c r="C5" s="237" t="s">
        <v>56</v>
      </c>
      <c r="D5" s="238"/>
      <c r="E5" s="239"/>
      <c r="F5" s="240" t="s">
        <v>57</v>
      </c>
      <c r="G5" s="238"/>
      <c r="H5" s="238"/>
      <c r="I5" s="238"/>
      <c r="J5" s="238"/>
      <c r="K5" s="238"/>
      <c r="L5" s="238"/>
      <c r="M5" s="238"/>
      <c r="N5" s="238"/>
      <c r="O5" s="241"/>
      <c r="P5" s="242" t="s">
        <v>58</v>
      </c>
      <c r="Q5" s="243"/>
      <c r="R5" s="243"/>
      <c r="S5" s="95"/>
      <c r="T5" s="244" t="s">
        <v>59</v>
      </c>
      <c r="U5" s="234"/>
      <c r="V5" s="234"/>
      <c r="W5" s="233" t="s">
        <v>60</v>
      </c>
      <c r="X5" s="234"/>
      <c r="Y5" s="235" t="s">
        <v>61</v>
      </c>
      <c r="Z5" s="235"/>
      <c r="AA5" s="235"/>
      <c r="AB5" s="235"/>
      <c r="AC5" s="235"/>
      <c r="AD5" s="235"/>
      <c r="AE5" s="208"/>
    </row>
    <row r="6" spans="1:31" s="11" customFormat="1" ht="43.5">
      <c r="A6" s="150" t="s">
        <v>62</v>
      </c>
      <c r="B6" s="85" t="s">
        <v>63</v>
      </c>
      <c r="C6" s="85" t="s">
        <v>64</v>
      </c>
      <c r="D6" s="85" t="s">
        <v>25</v>
      </c>
      <c r="E6" s="145" t="s">
        <v>65</v>
      </c>
      <c r="F6" s="85" t="s">
        <v>66</v>
      </c>
      <c r="G6" s="85" t="s">
        <v>67</v>
      </c>
      <c r="H6" s="85" t="s">
        <v>68</v>
      </c>
      <c r="I6" s="85" t="s">
        <v>69</v>
      </c>
      <c r="J6" s="85" t="s">
        <v>70</v>
      </c>
      <c r="K6" s="85" t="s">
        <v>71</v>
      </c>
      <c r="L6" s="85" t="s">
        <v>72</v>
      </c>
      <c r="M6" s="85" t="s">
        <v>73</v>
      </c>
      <c r="N6" s="85" t="s">
        <v>74</v>
      </c>
      <c r="O6" s="145" t="s">
        <v>75</v>
      </c>
      <c r="P6" s="85" t="s">
        <v>76</v>
      </c>
      <c r="Q6" s="85" t="s">
        <v>77</v>
      </c>
      <c r="R6" s="85" t="s">
        <v>78</v>
      </c>
      <c r="S6" s="112"/>
      <c r="T6" s="85" t="s">
        <v>79</v>
      </c>
      <c r="U6" s="85" t="s">
        <v>80</v>
      </c>
      <c r="V6" s="145" t="s">
        <v>81</v>
      </c>
      <c r="W6" s="85" t="s">
        <v>82</v>
      </c>
      <c r="X6" s="145" t="s">
        <v>83</v>
      </c>
      <c r="Y6" s="85" t="s">
        <v>84</v>
      </c>
      <c r="Z6" s="85" t="s">
        <v>85</v>
      </c>
      <c r="AA6" s="85" t="s">
        <v>86</v>
      </c>
      <c r="AB6" s="85" t="s">
        <v>87</v>
      </c>
      <c r="AC6" s="85" t="s">
        <v>88</v>
      </c>
      <c r="AD6" s="85" t="s">
        <v>89</v>
      </c>
      <c r="AE6" s="85" t="s">
        <v>90</v>
      </c>
    </row>
    <row r="7" spans="1:31" s="184" customFormat="1" ht="15.6">
      <c r="A7" s="185"/>
      <c r="B7" s="186"/>
      <c r="C7" s="187"/>
      <c r="D7" s="187"/>
      <c r="E7" s="188"/>
      <c r="F7" s="186"/>
      <c r="G7" s="187"/>
      <c r="H7" s="187"/>
      <c r="I7" s="187" t="s">
        <v>91</v>
      </c>
      <c r="J7" s="187" t="s">
        <v>92</v>
      </c>
      <c r="K7" s="187"/>
      <c r="L7" s="187"/>
      <c r="M7" s="187"/>
      <c r="N7" s="187" t="s">
        <v>93</v>
      </c>
      <c r="O7" s="188" t="s">
        <v>94</v>
      </c>
      <c r="P7" s="189"/>
      <c r="Q7" s="186" t="s">
        <v>95</v>
      </c>
      <c r="R7" s="187" t="s">
        <v>96</v>
      </c>
      <c r="S7" s="187"/>
      <c r="T7" s="187" t="s">
        <v>97</v>
      </c>
      <c r="U7" s="189"/>
      <c r="V7" s="190" t="s">
        <v>98</v>
      </c>
      <c r="W7" s="186" t="s">
        <v>99</v>
      </c>
      <c r="X7" s="191" t="s">
        <v>100</v>
      </c>
      <c r="Y7" s="192" t="s">
        <v>101</v>
      </c>
      <c r="Z7" s="189" t="s">
        <v>102</v>
      </c>
      <c r="AA7" s="189" t="s">
        <v>103</v>
      </c>
      <c r="AB7" s="189"/>
      <c r="AC7" s="189"/>
      <c r="AD7" s="3"/>
      <c r="AE7" s="3"/>
    </row>
    <row r="8" spans="1:31" ht="15.6">
      <c r="A8" s="151">
        <v>46102</v>
      </c>
      <c r="B8" s="144"/>
      <c r="C8" s="87">
        <v>16190344</v>
      </c>
      <c r="D8" s="87">
        <v>10257885</v>
      </c>
      <c r="E8" s="146">
        <v>6556</v>
      </c>
      <c r="F8" s="148">
        <f>'Current Effort - Development'!I19</f>
        <v>30.833333333333332</v>
      </c>
      <c r="G8" s="87">
        <f>F8</f>
        <v>30.833333333333332</v>
      </c>
      <c r="H8" s="221">
        <v>0.01</v>
      </c>
      <c r="I8" s="222">
        <v>32032</v>
      </c>
      <c r="J8" s="223">
        <v>6556</v>
      </c>
      <c r="K8" s="222">
        <v>6529.083333333333</v>
      </c>
      <c r="L8" s="221">
        <v>-0.58943461460239988</v>
      </c>
      <c r="M8" s="181">
        <v>161903.44</v>
      </c>
      <c r="N8" s="88">
        <v>6746253.3947368432</v>
      </c>
      <c r="O8" s="159">
        <f>N8+I8</f>
        <v>6778285.3947368432</v>
      </c>
      <c r="P8" s="182">
        <f>D8/O8</f>
        <v>1.5133451016926747</v>
      </c>
      <c r="Q8" s="158">
        <f>D8-O8</f>
        <v>3479599.6052631568</v>
      </c>
      <c r="R8" s="90">
        <f>Q8/C8</f>
        <v>0.2149182009513298</v>
      </c>
      <c r="S8" s="226"/>
      <c r="T8" s="227">
        <f>C8-O8</f>
        <v>9412058.6052631568</v>
      </c>
      <c r="U8" s="228">
        <v>0.36641957700219341</v>
      </c>
      <c r="V8" s="225">
        <f>T8/C8</f>
        <v>0.58133777795352326</v>
      </c>
      <c r="W8" s="158">
        <f>T8-'Budget - Consultation'!$I$17</f>
        <v>7582208.6052631568</v>
      </c>
      <c r="X8" s="161">
        <f>V8-'Budget - Consultation'!$I$18</f>
        <v>0.30580982764296427</v>
      </c>
      <c r="Y8" s="204"/>
      <c r="Z8" s="93">
        <v>4.0888663839483506E-3</v>
      </c>
      <c r="AA8" s="220">
        <v>161903.44</v>
      </c>
      <c r="AB8" s="220">
        <v>161903.44</v>
      </c>
      <c r="AC8" s="220">
        <v>161903.44</v>
      </c>
      <c r="AD8" s="220">
        <v>161903.44</v>
      </c>
      <c r="AE8" s="220">
        <v>161903.44</v>
      </c>
    </row>
    <row r="9" spans="1:31" ht="15.6">
      <c r="A9" s="151">
        <v>46133</v>
      </c>
      <c r="B9" s="144"/>
      <c r="C9" s="87">
        <f>'Budget - Development'!I16</f>
        <v>16190344</v>
      </c>
      <c r="D9" s="87">
        <f>'Budget - Development'!I15</f>
        <v>10257885</v>
      </c>
      <c r="E9" s="146">
        <f>'Budget - Development'!E12</f>
        <v>6556</v>
      </c>
      <c r="F9" s="148">
        <f>'Current Effort - Development'!L19</f>
        <v>77.5625</v>
      </c>
      <c r="G9" s="87">
        <f>'Current Effort - Development'!AO19</f>
        <v>108.39583333333333</v>
      </c>
      <c r="H9" s="221">
        <v>0.03</v>
      </c>
      <c r="I9" s="222">
        <f>'Current Effort - Development'!N22</f>
        <v>150282.41249999998</v>
      </c>
      <c r="J9" s="223"/>
      <c r="K9" s="222">
        <f>E9-G9</f>
        <v>6447.604166666667</v>
      </c>
      <c r="L9" s="221">
        <f>(G9/E9)/H9-100%</f>
        <v>-0.44887211036539898</v>
      </c>
      <c r="M9" s="181">
        <f>H9*C9</f>
        <v>485710.32</v>
      </c>
      <c r="N9" s="88">
        <f>J9*'Current Effort - Development'!N$23</f>
        <v>0</v>
      </c>
      <c r="O9" s="159">
        <f>N9+I9</f>
        <v>150282.41249999998</v>
      </c>
      <c r="P9" s="182">
        <f>D9/O9</f>
        <v>68.257388401986177</v>
      </c>
      <c r="Q9" s="158">
        <f>D9-O9</f>
        <v>10107602.5875</v>
      </c>
      <c r="R9" s="90">
        <f>Q9/C9</f>
        <v>0.62429819820381827</v>
      </c>
      <c r="S9" s="114"/>
      <c r="T9" s="227">
        <f>C9-O9</f>
        <v>16040061.5875</v>
      </c>
      <c r="U9" s="228">
        <f>'Budget - Development'!I18</f>
        <v>0.36641957700219341</v>
      </c>
      <c r="V9" s="225">
        <f>T9/C9</f>
        <v>0.99071777520601167</v>
      </c>
      <c r="W9" s="158">
        <f>T9-'Budget - Consultation'!$I$17</f>
        <v>14210211.5875</v>
      </c>
      <c r="X9" s="161">
        <f>V9-'Budget - Consultation'!$I$18</f>
        <v>0.71518982489545269</v>
      </c>
      <c r="Y9" s="204"/>
      <c r="Z9" s="93">
        <f>I9/O9</f>
        <v>1</v>
      </c>
      <c r="AA9" s="220">
        <f>C9*H9</f>
        <v>485710.32</v>
      </c>
      <c r="AB9" s="220">
        <f>AA9</f>
        <v>485710.32</v>
      </c>
      <c r="AC9" s="220">
        <f>AA9-Y9</f>
        <v>485710.32</v>
      </c>
      <c r="AD9" s="220">
        <f>AC9</f>
        <v>485710.32</v>
      </c>
      <c r="AE9" s="220">
        <f>AC9+Y9</f>
        <v>485710.32</v>
      </c>
    </row>
    <row r="10" spans="1:31" ht="15.6">
      <c r="A10" s="151"/>
      <c r="B10" s="144"/>
      <c r="C10" s="87"/>
      <c r="D10" s="87"/>
      <c r="E10" s="146"/>
      <c r="F10" s="148"/>
      <c r="G10" s="87"/>
      <c r="H10" s="221"/>
      <c r="I10" s="222"/>
      <c r="J10" s="223"/>
      <c r="K10" s="222"/>
      <c r="L10" s="221"/>
      <c r="M10" s="181"/>
      <c r="N10" s="88"/>
      <c r="O10" s="159"/>
      <c r="P10" s="182"/>
      <c r="Q10" s="158"/>
      <c r="R10" s="90"/>
      <c r="S10" s="114"/>
      <c r="T10" s="224"/>
      <c r="U10" s="228"/>
      <c r="V10" s="225"/>
      <c r="W10" s="158"/>
      <c r="X10" s="161"/>
      <c r="Y10" s="204"/>
      <c r="Z10" s="216"/>
      <c r="AA10" s="220"/>
      <c r="AB10" s="220"/>
      <c r="AC10" s="220"/>
      <c r="AD10" s="220"/>
      <c r="AE10" s="220"/>
    </row>
    <row r="11" spans="1:31" ht="15.6">
      <c r="A11" s="151"/>
      <c r="B11" s="144"/>
      <c r="C11" s="87"/>
      <c r="D11" s="87"/>
      <c r="E11" s="146"/>
      <c r="F11" s="148"/>
      <c r="G11" s="87"/>
      <c r="H11" s="221"/>
      <c r="I11" s="222"/>
      <c r="J11" s="223"/>
      <c r="K11" s="222"/>
      <c r="L11" s="221"/>
      <c r="M11" s="181"/>
      <c r="N11" s="88"/>
      <c r="O11" s="159"/>
      <c r="P11" s="182"/>
      <c r="Q11" s="158"/>
      <c r="R11" s="90"/>
      <c r="S11" s="114"/>
      <c r="T11" s="224"/>
      <c r="U11" s="228"/>
      <c r="V11" s="225"/>
      <c r="W11" s="158"/>
      <c r="X11" s="161"/>
      <c r="Y11" s="204"/>
      <c r="Z11" s="216"/>
      <c r="AA11" s="220"/>
      <c r="AB11" s="220"/>
      <c r="AC11" s="220"/>
      <c r="AD11" s="220"/>
      <c r="AE11" s="220"/>
    </row>
    <row r="12" spans="1:31" ht="15.6">
      <c r="A12" s="151"/>
      <c r="B12" s="144"/>
      <c r="C12" s="87"/>
      <c r="D12" s="87"/>
      <c r="E12" s="146"/>
      <c r="F12" s="148"/>
      <c r="G12" s="87"/>
      <c r="H12" s="221"/>
      <c r="I12" s="222"/>
      <c r="J12" s="223"/>
      <c r="K12" s="222"/>
      <c r="L12" s="221"/>
      <c r="M12" s="181"/>
      <c r="N12" s="88"/>
      <c r="O12" s="159"/>
      <c r="P12" s="182"/>
      <c r="Q12" s="158"/>
      <c r="R12" s="90"/>
      <c r="S12" s="114"/>
      <c r="T12" s="224"/>
      <c r="U12" s="228"/>
      <c r="V12" s="225"/>
      <c r="W12" s="158"/>
      <c r="X12" s="161"/>
      <c r="Y12" s="204"/>
      <c r="Z12" s="216"/>
      <c r="AA12" s="220"/>
      <c r="AB12" s="220"/>
      <c r="AC12" s="220"/>
      <c r="AD12" s="220"/>
      <c r="AE12" s="220"/>
    </row>
    <row r="13" spans="1:31" ht="15.6">
      <c r="A13" s="151"/>
      <c r="B13" s="144"/>
      <c r="C13" s="87"/>
      <c r="D13" s="87"/>
      <c r="E13" s="146"/>
      <c r="F13" s="148"/>
      <c r="G13" s="87"/>
      <c r="H13" s="221"/>
      <c r="I13" s="222"/>
      <c r="J13" s="223"/>
      <c r="K13" s="222"/>
      <c r="L13" s="221"/>
      <c r="M13" s="181"/>
      <c r="N13" s="88"/>
      <c r="O13" s="159"/>
      <c r="P13" s="182"/>
      <c r="Q13" s="158"/>
      <c r="R13" s="90"/>
      <c r="S13" s="114"/>
      <c r="T13" s="224"/>
      <c r="U13" s="228"/>
      <c r="V13" s="225"/>
      <c r="W13" s="158"/>
      <c r="X13" s="161"/>
      <c r="Y13" s="204"/>
      <c r="Z13" s="216"/>
      <c r="AA13" s="220"/>
      <c r="AB13" s="220"/>
      <c r="AC13" s="220"/>
      <c r="AD13" s="220"/>
      <c r="AE13" s="220"/>
    </row>
    <row r="14" spans="1:31" ht="15.6">
      <c r="A14" s="151"/>
      <c r="B14" s="144"/>
      <c r="C14" s="87"/>
      <c r="D14" s="87"/>
      <c r="E14" s="146"/>
      <c r="F14" s="148"/>
      <c r="G14" s="87"/>
      <c r="H14" s="221"/>
      <c r="I14" s="222"/>
      <c r="J14" s="223"/>
      <c r="K14" s="222"/>
      <c r="L14" s="221"/>
      <c r="M14" s="181"/>
      <c r="N14" s="88"/>
      <c r="O14" s="159"/>
      <c r="P14" s="182"/>
      <c r="Q14" s="158"/>
      <c r="R14" s="90"/>
      <c r="S14" s="114"/>
      <c r="T14" s="224"/>
      <c r="U14" s="228"/>
      <c r="V14" s="225"/>
      <c r="W14" s="158"/>
      <c r="X14" s="161"/>
      <c r="Y14" s="204"/>
      <c r="Z14" s="216"/>
      <c r="AA14" s="220"/>
      <c r="AB14" s="220"/>
      <c r="AC14" s="220"/>
      <c r="AD14" s="220"/>
      <c r="AE14" s="220"/>
    </row>
    <row r="15" spans="1:31" ht="15.6">
      <c r="A15" s="151"/>
      <c r="B15" s="144"/>
      <c r="C15" s="87"/>
      <c r="D15" s="87"/>
      <c r="E15" s="146"/>
      <c r="F15" s="148"/>
      <c r="G15" s="87"/>
      <c r="H15" s="221"/>
      <c r="I15" s="222"/>
      <c r="J15" s="223"/>
      <c r="K15" s="222"/>
      <c r="L15" s="221"/>
      <c r="M15" s="181"/>
      <c r="N15" s="88"/>
      <c r="O15" s="159"/>
      <c r="P15" s="182"/>
      <c r="Q15" s="158"/>
      <c r="R15" s="90"/>
      <c r="S15" s="114"/>
      <c r="T15" s="224"/>
      <c r="U15" s="228"/>
      <c r="V15" s="225"/>
      <c r="W15" s="158"/>
      <c r="X15" s="161"/>
      <c r="Y15" s="204"/>
      <c r="Z15" s="216"/>
      <c r="AA15" s="220"/>
      <c r="AB15" s="220"/>
      <c r="AC15" s="220"/>
      <c r="AD15" s="220"/>
      <c r="AE15" s="220"/>
    </row>
    <row r="16" spans="1:31" ht="15.6">
      <c r="A16" s="151"/>
      <c r="B16" s="144"/>
      <c r="C16" s="87"/>
      <c r="D16" s="87"/>
      <c r="E16" s="146"/>
      <c r="F16" s="148"/>
      <c r="G16" s="87"/>
      <c r="H16" s="221"/>
      <c r="I16" s="222"/>
      <c r="J16" s="223"/>
      <c r="K16" s="222"/>
      <c r="L16" s="221"/>
      <c r="M16" s="181"/>
      <c r="N16" s="88"/>
      <c r="O16" s="159"/>
      <c r="P16" s="182"/>
      <c r="Q16" s="158"/>
      <c r="R16" s="90"/>
      <c r="S16" s="114"/>
      <c r="T16" s="224"/>
      <c r="U16" s="228"/>
      <c r="V16" s="225"/>
      <c r="W16" s="158"/>
      <c r="X16" s="161"/>
      <c r="Y16" s="204"/>
      <c r="Z16" s="216"/>
      <c r="AA16" s="220"/>
      <c r="AB16" s="220"/>
      <c r="AC16" s="220"/>
      <c r="AD16" s="220"/>
      <c r="AE16" s="220"/>
    </row>
    <row r="17" spans="1:31" ht="15.6">
      <c r="A17" s="151"/>
      <c r="B17" s="144"/>
      <c r="C17" s="87"/>
      <c r="D17" s="87"/>
      <c r="E17" s="146"/>
      <c r="F17" s="148"/>
      <c r="G17" s="87"/>
      <c r="H17" s="221"/>
      <c r="I17" s="222"/>
      <c r="J17" s="223"/>
      <c r="K17" s="222"/>
      <c r="L17" s="221"/>
      <c r="M17" s="181"/>
      <c r="N17" s="88"/>
      <c r="O17" s="159"/>
      <c r="P17" s="182"/>
      <c r="Q17" s="158"/>
      <c r="R17" s="90"/>
      <c r="S17" s="114"/>
      <c r="T17" s="224"/>
      <c r="U17" s="228"/>
      <c r="V17" s="225"/>
      <c r="W17" s="158"/>
      <c r="X17" s="161"/>
      <c r="Y17" s="204"/>
      <c r="Z17" s="216"/>
      <c r="AA17" s="220"/>
      <c r="AB17" s="220"/>
      <c r="AC17" s="220"/>
      <c r="AD17" s="220"/>
      <c r="AE17" s="220"/>
    </row>
    <row r="18" spans="1:31" ht="15.6">
      <c r="A18" s="151"/>
      <c r="B18" s="144"/>
      <c r="C18" s="87"/>
      <c r="D18" s="87"/>
      <c r="E18" s="146"/>
      <c r="F18" s="148"/>
      <c r="G18" s="87"/>
      <c r="H18" s="221"/>
      <c r="I18" s="222"/>
      <c r="J18" s="223"/>
      <c r="K18" s="222"/>
      <c r="L18" s="221"/>
      <c r="M18" s="181"/>
      <c r="N18" s="88"/>
      <c r="O18" s="159"/>
      <c r="P18" s="182"/>
      <c r="Q18" s="158"/>
      <c r="R18" s="90"/>
      <c r="S18" s="114"/>
      <c r="T18" s="224"/>
      <c r="U18" s="228"/>
      <c r="V18" s="225"/>
      <c r="W18" s="158"/>
      <c r="X18" s="161"/>
      <c r="Y18" s="204"/>
      <c r="Z18" s="216"/>
      <c r="AA18" s="220"/>
      <c r="AB18" s="220"/>
      <c r="AC18" s="220"/>
      <c r="AD18" s="220"/>
      <c r="AE18" s="220"/>
    </row>
    <row r="19" spans="1:31" ht="15.6">
      <c r="A19" s="151"/>
      <c r="B19" s="144"/>
      <c r="C19" s="87"/>
      <c r="D19" s="87"/>
      <c r="E19" s="146"/>
      <c r="F19" s="148"/>
      <c r="G19" s="87"/>
      <c r="H19" s="221"/>
      <c r="I19" s="222"/>
      <c r="J19" s="223"/>
      <c r="K19" s="222"/>
      <c r="L19" s="221"/>
      <c r="M19" s="181"/>
      <c r="N19" s="88"/>
      <c r="O19" s="159"/>
      <c r="P19" s="182"/>
      <c r="Q19" s="158"/>
      <c r="R19" s="90"/>
      <c r="S19" s="114"/>
      <c r="T19" s="224"/>
      <c r="U19" s="228"/>
      <c r="V19" s="225"/>
      <c r="W19" s="158"/>
      <c r="X19" s="161"/>
      <c r="Y19" s="204"/>
      <c r="Z19" s="216"/>
      <c r="AA19" s="220"/>
      <c r="AB19" s="220"/>
      <c r="AC19" s="220"/>
      <c r="AD19" s="220"/>
      <c r="AE19" s="220"/>
    </row>
    <row r="20" spans="1:31" ht="15.6">
      <c r="A20" s="151"/>
      <c r="B20" s="144"/>
      <c r="C20" s="87"/>
      <c r="D20" s="87"/>
      <c r="E20" s="146"/>
      <c r="F20" s="148"/>
      <c r="G20" s="87"/>
      <c r="H20" s="221"/>
      <c r="I20" s="222"/>
      <c r="J20" s="223"/>
      <c r="K20" s="222"/>
      <c r="L20" s="221"/>
      <c r="M20" s="181"/>
      <c r="N20" s="88"/>
      <c r="O20" s="159"/>
      <c r="P20" s="182"/>
      <c r="Q20" s="158"/>
      <c r="R20" s="90"/>
      <c r="S20" s="114"/>
      <c r="T20" s="224"/>
      <c r="U20" s="228"/>
      <c r="V20" s="225"/>
      <c r="W20" s="158"/>
      <c r="X20" s="161"/>
      <c r="Y20" s="204"/>
      <c r="Z20" s="216"/>
      <c r="AA20" s="220"/>
      <c r="AB20" s="220"/>
      <c r="AC20" s="220"/>
      <c r="AD20" s="220"/>
      <c r="AE20" s="220"/>
    </row>
    <row r="21" spans="1:31" ht="15.6">
      <c r="A21" s="151"/>
      <c r="B21" s="144"/>
      <c r="C21" s="87"/>
      <c r="D21" s="87"/>
      <c r="E21" s="146"/>
      <c r="F21" s="148"/>
      <c r="G21" s="87"/>
      <c r="H21" s="221"/>
      <c r="I21" s="222"/>
      <c r="J21" s="223"/>
      <c r="K21" s="222"/>
      <c r="L21" s="221"/>
      <c r="M21" s="181"/>
      <c r="N21" s="88"/>
      <c r="O21" s="159"/>
      <c r="P21" s="182"/>
      <c r="Q21" s="158"/>
      <c r="R21" s="90"/>
      <c r="S21" s="114"/>
      <c r="T21" s="224"/>
      <c r="U21" s="228"/>
      <c r="V21" s="225"/>
      <c r="W21" s="158"/>
      <c r="X21" s="161"/>
      <c r="Y21" s="204"/>
      <c r="Z21" s="216"/>
      <c r="AA21" s="220"/>
      <c r="AB21" s="220"/>
      <c r="AC21" s="220"/>
      <c r="AD21" s="220"/>
      <c r="AE21" s="220"/>
    </row>
    <row r="22" spans="1:31" ht="15.6">
      <c r="A22" s="151"/>
      <c r="B22" s="144"/>
      <c r="C22" s="87"/>
      <c r="D22" s="87"/>
      <c r="E22" s="146"/>
      <c r="F22" s="148"/>
      <c r="G22" s="87"/>
      <c r="H22" s="221"/>
      <c r="I22" s="222"/>
      <c r="J22" s="223"/>
      <c r="K22" s="222"/>
      <c r="L22" s="221"/>
      <c r="M22" s="181"/>
      <c r="N22" s="88"/>
      <c r="O22" s="159"/>
      <c r="P22" s="182"/>
      <c r="Q22" s="158"/>
      <c r="R22" s="90"/>
      <c r="S22" s="114"/>
      <c r="T22" s="224"/>
      <c r="U22" s="228"/>
      <c r="V22" s="225"/>
      <c r="W22" s="158"/>
      <c r="X22" s="161"/>
      <c r="Y22" s="204"/>
      <c r="Z22" s="216"/>
      <c r="AA22" s="220"/>
      <c r="AB22" s="220"/>
      <c r="AC22" s="220"/>
      <c r="AD22" s="220"/>
      <c r="AE22" s="220"/>
    </row>
    <row r="23" spans="1:31" ht="15.6">
      <c r="A23" s="151"/>
      <c r="B23" s="144"/>
      <c r="C23" s="87"/>
      <c r="D23" s="87"/>
      <c r="E23" s="146"/>
      <c r="F23" s="148"/>
      <c r="G23" s="87"/>
      <c r="H23" s="221"/>
      <c r="I23" s="222"/>
      <c r="J23" s="223"/>
      <c r="K23" s="222"/>
      <c r="L23" s="221"/>
      <c r="M23" s="181"/>
      <c r="N23" s="88"/>
      <c r="O23" s="159"/>
      <c r="P23" s="182"/>
      <c r="Q23" s="158"/>
      <c r="R23" s="90"/>
      <c r="S23" s="114"/>
      <c r="T23" s="224"/>
      <c r="U23" s="228"/>
      <c r="V23" s="225"/>
      <c r="W23" s="158"/>
      <c r="X23" s="161"/>
      <c r="Y23" s="204"/>
      <c r="Z23" s="216"/>
      <c r="AA23" s="220"/>
      <c r="AB23" s="220"/>
      <c r="AC23" s="220"/>
      <c r="AD23" s="220"/>
      <c r="AE23" s="220"/>
    </row>
    <row r="24" spans="1:31" ht="15.6">
      <c r="A24" s="151"/>
      <c r="B24" s="144"/>
      <c r="C24" s="87"/>
      <c r="D24" s="87"/>
      <c r="E24" s="146"/>
      <c r="F24" s="148"/>
      <c r="G24" s="87"/>
      <c r="H24" s="221"/>
      <c r="I24" s="222"/>
      <c r="J24" s="223"/>
      <c r="K24" s="222"/>
      <c r="L24" s="221"/>
      <c r="M24" s="181"/>
      <c r="N24" s="88"/>
      <c r="O24" s="159"/>
      <c r="P24" s="182"/>
      <c r="Q24" s="158"/>
      <c r="R24" s="90"/>
      <c r="S24" s="114"/>
      <c r="T24" s="224"/>
      <c r="U24" s="228"/>
      <c r="V24" s="225"/>
      <c r="W24" s="158"/>
      <c r="X24" s="161"/>
      <c r="Y24" s="204"/>
      <c r="Z24" s="216"/>
      <c r="AA24" s="220"/>
      <c r="AB24" s="220"/>
      <c r="AC24" s="220"/>
      <c r="AD24" s="220"/>
      <c r="AE24" s="220"/>
    </row>
    <row r="25" spans="1:31" ht="15.6">
      <c r="A25" s="151"/>
      <c r="B25" s="144"/>
      <c r="C25" s="87"/>
      <c r="D25" s="87"/>
      <c r="E25" s="146"/>
      <c r="F25" s="148"/>
      <c r="G25" s="87"/>
      <c r="H25" s="221"/>
      <c r="I25" s="222"/>
      <c r="J25" s="223"/>
      <c r="K25" s="222"/>
      <c r="L25" s="221"/>
      <c r="M25" s="181"/>
      <c r="N25" s="88"/>
      <c r="O25" s="159"/>
      <c r="P25" s="182"/>
      <c r="Q25" s="158"/>
      <c r="R25" s="90"/>
      <c r="S25" s="114"/>
      <c r="T25" s="224"/>
      <c r="U25" s="228"/>
      <c r="V25" s="225"/>
      <c r="W25" s="158"/>
      <c r="X25" s="161"/>
      <c r="Y25" s="204"/>
      <c r="Z25" s="216"/>
      <c r="AA25" s="220"/>
      <c r="AB25" s="220"/>
      <c r="AC25" s="220"/>
      <c r="AD25" s="220"/>
      <c r="AE25" s="220"/>
    </row>
    <row r="26" spans="1:31" ht="15.6">
      <c r="A26" s="151"/>
      <c r="B26" s="144"/>
      <c r="C26" s="87"/>
      <c r="D26" s="87"/>
      <c r="E26" s="146"/>
      <c r="F26" s="148"/>
      <c r="G26" s="87"/>
      <c r="H26" s="221"/>
      <c r="I26" s="222"/>
      <c r="J26" s="223"/>
      <c r="K26" s="222"/>
      <c r="L26" s="221"/>
      <c r="M26" s="181"/>
      <c r="N26" s="88"/>
      <c r="O26" s="159"/>
      <c r="P26" s="182"/>
      <c r="Q26" s="158"/>
      <c r="R26" s="90"/>
      <c r="S26" s="114"/>
      <c r="T26" s="224"/>
      <c r="U26" s="228"/>
      <c r="V26" s="225"/>
      <c r="W26" s="158"/>
      <c r="X26" s="161"/>
      <c r="Y26" s="204"/>
      <c r="Z26" s="216"/>
      <c r="AA26" s="220"/>
      <c r="AB26" s="220"/>
      <c r="AC26" s="220"/>
      <c r="AD26" s="220"/>
      <c r="AE26" s="220"/>
    </row>
    <row r="27" spans="1:31" ht="15.6">
      <c r="A27" s="151"/>
      <c r="B27" s="144"/>
      <c r="C27" s="87"/>
      <c r="D27" s="87"/>
      <c r="E27" s="146"/>
      <c r="F27" s="148"/>
      <c r="G27" s="87"/>
      <c r="H27" s="221"/>
      <c r="I27" s="222"/>
      <c r="J27" s="223"/>
      <c r="K27" s="222"/>
      <c r="L27" s="221"/>
      <c r="M27" s="181"/>
      <c r="N27" s="88"/>
      <c r="O27" s="159"/>
      <c r="P27" s="182"/>
      <c r="Q27" s="158"/>
      <c r="R27" s="90"/>
      <c r="S27" s="114"/>
      <c r="T27" s="224"/>
      <c r="U27" s="228"/>
      <c r="V27" s="225"/>
      <c r="W27" s="158"/>
      <c r="X27" s="161"/>
      <c r="Y27" s="204"/>
      <c r="Z27" s="216"/>
      <c r="AA27" s="220"/>
      <c r="AB27" s="220"/>
      <c r="AC27" s="220"/>
      <c r="AD27" s="220"/>
      <c r="AE27" s="220"/>
    </row>
    <row r="28" spans="1:31">
      <c r="U28" s="91"/>
    </row>
    <row r="29" spans="1:31">
      <c r="U29" s="91"/>
    </row>
    <row r="30" spans="1:31">
      <c r="U30" s="91"/>
    </row>
    <row r="31" spans="1:31">
      <c r="U31" s="91"/>
    </row>
    <row r="32" spans="1:31">
      <c r="U32" s="91"/>
    </row>
    <row r="33" spans="21:21">
      <c r="U33" s="91"/>
    </row>
    <row r="34" spans="21:21">
      <c r="U34" s="91"/>
    </row>
    <row r="35" spans="21:21">
      <c r="U35" s="91"/>
    </row>
    <row r="36" spans="21:21">
      <c r="U36" s="91"/>
    </row>
    <row r="37" spans="21:21">
      <c r="U37" s="91"/>
    </row>
    <row r="38" spans="21:21">
      <c r="U38" s="91"/>
    </row>
    <row r="39" spans="21:21">
      <c r="U39" s="91"/>
    </row>
    <row r="40" spans="21:21">
      <c r="U40" s="91"/>
    </row>
    <row r="41" spans="21:21">
      <c r="U41" s="91"/>
    </row>
    <row r="42" spans="21:21">
      <c r="U42" s="91"/>
    </row>
    <row r="43" spans="21:21">
      <c r="U43" s="91"/>
    </row>
    <row r="44" spans="21:21">
      <c r="U44" s="91"/>
    </row>
  </sheetData>
  <mergeCells count="15">
    <mergeCell ref="W5:X5"/>
    <mergeCell ref="Y5:AD5"/>
    <mergeCell ref="C4:E4"/>
    <mergeCell ref="G4:H4"/>
    <mergeCell ref="C5:E5"/>
    <mergeCell ref="F5:O5"/>
    <mergeCell ref="P5:R5"/>
    <mergeCell ref="T5:V5"/>
    <mergeCell ref="C1:E1"/>
    <mergeCell ref="G1:H1"/>
    <mergeCell ref="C2:E2"/>
    <mergeCell ref="G2:H2"/>
    <mergeCell ref="K2:N3"/>
    <mergeCell ref="C3:E3"/>
    <mergeCell ref="G3:H3"/>
  </mergeCells>
  <conditionalFormatting sqref="Q8:Q27 T8:U27 W8:Y27">
    <cfRule type="cellIs" dxfId="89" priority="8" operator="lessThan">
      <formula>0</formula>
    </cfRule>
    <cfRule type="cellIs" dxfId="88" priority="9" operator="greaterThan">
      <formula>0</formula>
    </cfRule>
  </conditionalFormatting>
  <conditionalFormatting sqref="R8:R27 V8:V27">
    <cfRule type="cellIs" dxfId="87" priority="7" operator="lessThan">
      <formula>0</formula>
    </cfRule>
  </conditionalFormatting>
  <pageMargins left="0.7" right="0.7" top="0.75" bottom="0.75" header="0.3" footer="0.3"/>
  <pageSetup orientation="portrait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3563-0044-4B31-82E2-7A4039E2F9CE}">
  <dimension ref="A1:AO45"/>
  <sheetViews>
    <sheetView topLeftCell="D5" zoomScale="69" zoomScaleNormal="100" workbookViewId="0">
      <selection activeCell="J28" sqref="J28"/>
    </sheetView>
  </sheetViews>
  <sheetFormatPr defaultColWidth="9.125" defaultRowHeight="15" customHeight="1"/>
  <cols>
    <col min="2" max="2" width="32.125" customWidth="1"/>
    <col min="3" max="3" width="3.875" hidden="1" customWidth="1"/>
    <col min="4" max="4" width="29.625" customWidth="1"/>
    <col min="5" max="6" width="16.375" customWidth="1"/>
    <col min="7" max="11" width="15.375" customWidth="1"/>
    <col min="12" max="12" width="28.375" customWidth="1"/>
    <col min="13" max="13" width="15.375" customWidth="1"/>
    <col min="14" max="14" width="17.375" customWidth="1"/>
    <col min="15" max="15" width="15.375" customWidth="1"/>
    <col min="16" max="31" width="15.375" hidden="1" customWidth="1"/>
    <col min="32" max="32" width="16.125" hidden="1" customWidth="1"/>
    <col min="33" max="39" width="15.375" hidden="1" customWidth="1"/>
    <col min="40" max="40" width="19" customWidth="1"/>
    <col min="41" max="41" width="16.375" customWidth="1"/>
  </cols>
  <sheetData>
    <row r="1" spans="1:41" ht="15.6">
      <c r="B1" s="272" t="s">
        <v>104</v>
      </c>
      <c r="C1" s="272"/>
      <c r="D1" s="272"/>
    </row>
    <row r="4" spans="1:41" ht="18">
      <c r="D4" s="163"/>
      <c r="E4" s="163"/>
      <c r="G4" s="273" t="s">
        <v>105</v>
      </c>
      <c r="H4" s="271"/>
      <c r="I4" s="271"/>
      <c r="J4" s="271" t="s">
        <v>106</v>
      </c>
      <c r="K4" s="271"/>
      <c r="L4" s="271"/>
      <c r="M4" s="273" t="s">
        <v>107</v>
      </c>
      <c r="N4" s="271"/>
      <c r="O4" s="271"/>
      <c r="P4" s="271" t="s">
        <v>108</v>
      </c>
      <c r="Q4" s="271"/>
      <c r="R4" s="271"/>
      <c r="S4" s="273" t="s">
        <v>109</v>
      </c>
      <c r="T4" s="271"/>
      <c r="U4" s="271"/>
      <c r="V4" s="273" t="s">
        <v>110</v>
      </c>
      <c r="W4" s="271"/>
      <c r="X4" s="271"/>
      <c r="Y4" s="271" t="s">
        <v>111</v>
      </c>
      <c r="Z4" s="271"/>
      <c r="AA4" s="271"/>
      <c r="AB4" s="273" t="s">
        <v>112</v>
      </c>
      <c r="AC4" s="271"/>
      <c r="AD4" s="271"/>
      <c r="AE4" s="271" t="s">
        <v>113</v>
      </c>
      <c r="AF4" s="271"/>
      <c r="AG4" s="271"/>
      <c r="AH4" s="273" t="s">
        <v>114</v>
      </c>
      <c r="AI4" s="271"/>
      <c r="AJ4" s="271"/>
      <c r="AK4" s="271" t="s">
        <v>115</v>
      </c>
      <c r="AL4" s="271"/>
      <c r="AM4" s="271"/>
    </row>
    <row r="5" spans="1:41" s="134" customFormat="1" ht="33.950000000000003">
      <c r="A5" s="173" t="s">
        <v>36</v>
      </c>
      <c r="B5" s="173" t="s">
        <v>116</v>
      </c>
      <c r="C5" s="173"/>
      <c r="D5" s="173" t="s">
        <v>117</v>
      </c>
      <c r="E5" s="172" t="s">
        <v>118</v>
      </c>
      <c r="F5" s="172" t="s">
        <v>119</v>
      </c>
      <c r="G5" s="174" t="s">
        <v>120</v>
      </c>
      <c r="H5" s="174" t="s">
        <v>121</v>
      </c>
      <c r="I5" s="174" t="s">
        <v>122</v>
      </c>
      <c r="J5" s="174" t="s">
        <v>120</v>
      </c>
      <c r="K5" s="174" t="s">
        <v>121</v>
      </c>
      <c r="L5" s="174" t="s">
        <v>122</v>
      </c>
      <c r="M5" s="174" t="s">
        <v>120</v>
      </c>
      <c r="N5" s="174" t="s">
        <v>121</v>
      </c>
      <c r="O5" s="174" t="s">
        <v>122</v>
      </c>
      <c r="P5" s="174" t="s">
        <v>120</v>
      </c>
      <c r="Q5" s="174" t="s">
        <v>121</v>
      </c>
      <c r="R5" s="174" t="s">
        <v>122</v>
      </c>
      <c r="S5" s="174" t="s">
        <v>120</v>
      </c>
      <c r="T5" s="174" t="s">
        <v>121</v>
      </c>
      <c r="U5" s="174" t="s">
        <v>122</v>
      </c>
      <c r="V5" s="174" t="s">
        <v>120</v>
      </c>
      <c r="W5" s="174" t="s">
        <v>121</v>
      </c>
      <c r="X5" s="174" t="s">
        <v>122</v>
      </c>
      <c r="Y5" s="174" t="s">
        <v>120</v>
      </c>
      <c r="Z5" s="174" t="s">
        <v>121</v>
      </c>
      <c r="AA5" s="174" t="s">
        <v>122</v>
      </c>
      <c r="AB5" s="174" t="s">
        <v>120</v>
      </c>
      <c r="AC5" s="174" t="s">
        <v>121</v>
      </c>
      <c r="AD5" s="174" t="s">
        <v>122</v>
      </c>
      <c r="AE5" s="174" t="s">
        <v>120</v>
      </c>
      <c r="AF5" s="174" t="s">
        <v>121</v>
      </c>
      <c r="AG5" s="174" t="s">
        <v>122</v>
      </c>
      <c r="AH5" s="174" t="s">
        <v>120</v>
      </c>
      <c r="AI5" s="174" t="s">
        <v>121</v>
      </c>
      <c r="AJ5" s="174" t="s">
        <v>122</v>
      </c>
      <c r="AK5" s="174" t="s">
        <v>120</v>
      </c>
      <c r="AL5" s="174" t="s">
        <v>121</v>
      </c>
      <c r="AM5" s="174" t="s">
        <v>122</v>
      </c>
      <c r="AN5" s="172" t="s">
        <v>123</v>
      </c>
      <c r="AO5" s="172" t="s">
        <v>124</v>
      </c>
    </row>
    <row r="6" spans="1:41" ht="14.45">
      <c r="A6">
        <v>1</v>
      </c>
      <c r="B6" s="131" t="s">
        <v>125</v>
      </c>
      <c r="C6" s="131"/>
      <c r="D6" s="211" t="s">
        <v>126</v>
      </c>
      <c r="E6" s="165">
        <f>VLOOKUP(D:D,Positions2024!A:B,2,0)</f>
        <v>112.25</v>
      </c>
      <c r="F6" s="166">
        <f>'Current Effort - Development'!$E6*1.5</f>
        <v>168.375</v>
      </c>
      <c r="G6" s="167">
        <v>8</v>
      </c>
      <c r="H6" s="167"/>
      <c r="I6" s="167"/>
      <c r="J6" s="168">
        <v>88</v>
      </c>
      <c r="K6" s="167"/>
      <c r="L6" s="167"/>
      <c r="M6" s="168"/>
      <c r="N6" s="167"/>
      <c r="O6" s="167"/>
      <c r="P6" s="168"/>
      <c r="Q6" s="167"/>
      <c r="R6" s="167"/>
      <c r="S6" s="168"/>
      <c r="T6" s="167"/>
      <c r="U6" s="167"/>
      <c r="V6" s="168"/>
      <c r="W6" s="167"/>
      <c r="X6" s="167"/>
      <c r="Y6" s="168"/>
      <c r="Z6" s="167"/>
      <c r="AA6" s="167"/>
      <c r="AB6" s="168"/>
      <c r="AC6" s="167"/>
      <c r="AD6" s="167"/>
      <c r="AE6" s="168"/>
      <c r="AF6" s="167"/>
      <c r="AG6" s="167"/>
      <c r="AH6" s="168"/>
      <c r="AI6" s="167"/>
      <c r="AJ6" s="167"/>
      <c r="AK6" s="168"/>
      <c r="AL6" s="167"/>
      <c r="AM6" s="167"/>
      <c r="AN6" s="171">
        <f>SUM(G6:H6,J6:K6,M6:N6,P6:Q6,S6:T6,V6:W6,Y6:Z6,AB6:AC6,AE6:AF6,AE6:AF6,AH6:AI6,AK6:AL6)*E6+SUM(I6,L6,O6,R6,U6,X6,AA6,AD6,AG6,AJ6,AM6)*F6</f>
        <v>10776</v>
      </c>
      <c r="AO6" s="165">
        <f>((G6+I6+J6+L6+M6+O6+P6+R6+S6+U6+V6+X6+Y6+AA6+AB6+AD6+AE6+AG6+AH6+AJ6+AK6+AM6)/8)+((H6+K6+N6+Q6+T6+W6+Z6+AC6+AF6+AI6+AL6)/6)</f>
        <v>12</v>
      </c>
    </row>
    <row r="7" spans="1:41" ht="14.45">
      <c r="A7">
        <v>2</v>
      </c>
      <c r="B7" s="213" t="s">
        <v>127</v>
      </c>
      <c r="C7" s="207"/>
      <c r="D7" s="212" t="s">
        <v>128</v>
      </c>
      <c r="E7" s="165">
        <f>VLOOKUP(D:D,Positions2024!A:B,2,0)</f>
        <v>31.625</v>
      </c>
      <c r="F7" s="166">
        <f>'Current Effort - Development'!$E7*1.5</f>
        <v>47.4375</v>
      </c>
      <c r="G7" s="169"/>
      <c r="H7" s="169"/>
      <c r="I7" s="169"/>
      <c r="J7" s="170">
        <v>56</v>
      </c>
      <c r="K7" s="169"/>
      <c r="L7" s="169"/>
      <c r="M7" s="170"/>
      <c r="N7" s="169"/>
      <c r="O7" s="169"/>
      <c r="P7" s="170"/>
      <c r="Q7" s="169"/>
      <c r="R7" s="169"/>
      <c r="S7" s="170"/>
      <c r="T7" s="169"/>
      <c r="U7" s="169"/>
      <c r="V7" s="170"/>
      <c r="W7" s="169"/>
      <c r="X7" s="169"/>
      <c r="Y7" s="170"/>
      <c r="Z7" s="169"/>
      <c r="AA7" s="169"/>
      <c r="AB7" s="170"/>
      <c r="AC7" s="169"/>
      <c r="AD7" s="169"/>
      <c r="AE7" s="170"/>
      <c r="AF7" s="169"/>
      <c r="AG7" s="169"/>
      <c r="AH7" s="170"/>
      <c r="AI7" s="169"/>
      <c r="AJ7" s="169"/>
      <c r="AK7" s="170"/>
      <c r="AL7" s="169"/>
      <c r="AM7" s="169"/>
      <c r="AN7" s="171">
        <f t="shared" ref="AN7:AN18" si="0">SUM(G7:H7,J7:K7,M7:N7,P7:Q7,S7:T7,V7:W7,Y7:Z7,AB7:AC7,AE7:AF7,AE7:AF7,AH7:AI7,AK7:AL7)*E7+SUM(I7,L7,O7,R7,U7,X7,AA7,AD7,AG7,AJ7,AM7)*F7</f>
        <v>1771</v>
      </c>
      <c r="AO7" s="165">
        <f>((G7+I7+J7+L7+M7+O7+P7+R7+S7+U7+V7+X7+Y7+AA7+AB7+AD7+AE7+AG7+AH7+AJ7+AK7+AM7)/8)+((H7+K7+N7+Q7+T7+W7+Z7+AC7+AF7+AI7+AL7)/6)</f>
        <v>7</v>
      </c>
    </row>
    <row r="8" spans="1:41" ht="18" customHeight="1">
      <c r="A8">
        <v>3</v>
      </c>
      <c r="B8" s="219" t="s">
        <v>129</v>
      </c>
      <c r="C8" s="131"/>
      <c r="D8" s="211" t="s">
        <v>130</v>
      </c>
      <c r="E8" s="165">
        <f>VLOOKUP(D:D,Positions2024!A:B,2,0)</f>
        <v>27.875</v>
      </c>
      <c r="F8" s="166">
        <f>'Current Effort - Development'!$E8*1.5</f>
        <v>41.8125</v>
      </c>
      <c r="G8" s="167"/>
      <c r="H8" s="167"/>
      <c r="I8" s="167"/>
      <c r="J8" s="168">
        <v>44</v>
      </c>
      <c r="K8" s="167"/>
      <c r="L8" s="167"/>
      <c r="M8" s="168"/>
      <c r="N8" s="167"/>
      <c r="O8" s="167"/>
      <c r="P8" s="168"/>
      <c r="Q8" s="167"/>
      <c r="R8" s="167"/>
      <c r="S8" s="168"/>
      <c r="T8" s="167"/>
      <c r="U8" s="167"/>
      <c r="V8" s="168"/>
      <c r="W8" s="167"/>
      <c r="X8" s="167"/>
      <c r="Y8" s="168"/>
      <c r="Z8" s="167"/>
      <c r="AA8" s="167"/>
      <c r="AB8" s="168"/>
      <c r="AC8" s="167"/>
      <c r="AD8" s="167"/>
      <c r="AE8" s="168"/>
      <c r="AF8" s="167"/>
      <c r="AG8" s="167"/>
      <c r="AH8" s="168"/>
      <c r="AI8" s="167"/>
      <c r="AJ8" s="167"/>
      <c r="AK8" s="168"/>
      <c r="AL8" s="167"/>
      <c r="AM8" s="167"/>
      <c r="AN8" s="171">
        <f t="shared" si="0"/>
        <v>1226.5</v>
      </c>
      <c r="AO8" s="165">
        <f>((G8+I8+J8+L8+M8+O8+P8+R8+S8+U8+V8+X8+Y8+AA8+AB8+AD8+AE8+AG8+AH8+AJ8+AK8+AM8)/8)+((H8+K8+N8+Q8+T8+W8+Z8+AC8+AF8+AI8+AL8)/6)</f>
        <v>5.5</v>
      </c>
    </row>
    <row r="9" spans="1:41" ht="14.45">
      <c r="A9">
        <v>4</v>
      </c>
      <c r="B9" s="213" t="s">
        <v>131</v>
      </c>
      <c r="C9" s="207"/>
      <c r="D9" s="212" t="s">
        <v>132</v>
      </c>
      <c r="E9" s="165">
        <f>VLOOKUP(D:D,Positions2024!A:B,2,0)</f>
        <v>37.625</v>
      </c>
      <c r="F9" s="166">
        <f>'Current Effort - Development'!$E9*1.5</f>
        <v>56.4375</v>
      </c>
      <c r="G9" s="169">
        <v>19</v>
      </c>
      <c r="H9" s="169">
        <v>16</v>
      </c>
      <c r="I9" s="169"/>
      <c r="J9" s="170">
        <v>39</v>
      </c>
      <c r="K9" s="169"/>
      <c r="L9" s="169"/>
      <c r="M9" s="170"/>
      <c r="N9" s="169"/>
      <c r="O9" s="169"/>
      <c r="P9" s="170"/>
      <c r="Q9" s="169"/>
      <c r="R9" s="169"/>
      <c r="S9" s="170"/>
      <c r="T9" s="169"/>
      <c r="U9" s="169"/>
      <c r="V9" s="170"/>
      <c r="W9" s="169"/>
      <c r="X9" s="169"/>
      <c r="Y9" s="170"/>
      <c r="Z9" s="169"/>
      <c r="AA9" s="169"/>
      <c r="AB9" s="170"/>
      <c r="AC9" s="169"/>
      <c r="AD9" s="169"/>
      <c r="AE9" s="170"/>
      <c r="AF9" s="169"/>
      <c r="AG9" s="169"/>
      <c r="AH9" s="170"/>
      <c r="AI9" s="169"/>
      <c r="AJ9" s="169"/>
      <c r="AK9" s="170"/>
      <c r="AL9" s="169"/>
      <c r="AM9" s="169"/>
      <c r="AN9" s="171">
        <f t="shared" si="0"/>
        <v>2784.25</v>
      </c>
      <c r="AO9" s="165">
        <f>((G9+I9+J9+L9+M9+O9+P9+R9+S9+U9+V9+X9+Y9+AA9+AB9+AD9+AE9+AG9+AH9+AJ9+AK9+AM9)/8)+((H9+K9+N9+Q9+T9+W9+Z9+AC9+AF9+AI9+AL9)/6)</f>
        <v>9.9166666666666661</v>
      </c>
    </row>
    <row r="10" spans="1:41" ht="14.45">
      <c r="A10">
        <v>5</v>
      </c>
      <c r="B10" s="131" t="s">
        <v>133</v>
      </c>
      <c r="C10" s="131"/>
      <c r="D10" s="211" t="s">
        <v>134</v>
      </c>
      <c r="E10" s="165">
        <f>VLOOKUP(D:D,Positions2024!A:B,2,0)</f>
        <v>34.625</v>
      </c>
      <c r="F10" s="166">
        <f>'Current Effort - Development'!$E10*1.5</f>
        <v>51.9375</v>
      </c>
      <c r="G10" s="167">
        <v>30</v>
      </c>
      <c r="H10" s="167"/>
      <c r="I10" s="167"/>
      <c r="J10" s="168">
        <v>32</v>
      </c>
      <c r="K10" s="167"/>
      <c r="L10" s="167"/>
      <c r="M10" s="168"/>
      <c r="N10" s="167"/>
      <c r="O10" s="167"/>
      <c r="P10" s="168"/>
      <c r="Q10" s="167"/>
      <c r="R10" s="167"/>
      <c r="S10" s="168"/>
      <c r="T10" s="167"/>
      <c r="U10" s="167"/>
      <c r="V10" s="168"/>
      <c r="W10" s="167"/>
      <c r="X10" s="167"/>
      <c r="Y10" s="168"/>
      <c r="Z10" s="167"/>
      <c r="AA10" s="167"/>
      <c r="AB10" s="168"/>
      <c r="AC10" s="167"/>
      <c r="AD10" s="167"/>
      <c r="AE10" s="168"/>
      <c r="AF10" s="167"/>
      <c r="AG10" s="167"/>
      <c r="AH10" s="168"/>
      <c r="AI10" s="167"/>
      <c r="AJ10" s="167"/>
      <c r="AK10" s="168"/>
      <c r="AL10" s="167"/>
      <c r="AM10" s="167"/>
      <c r="AN10" s="171">
        <f t="shared" si="0"/>
        <v>2146.75</v>
      </c>
      <c r="AO10" s="165">
        <f>((G10+I10+J10+L10+M10+O10+P10+R10+S10+U10+V10+X10+Y10+AA10+AB10+AD10+AE10+AG10+AH10+AJ10+AK10+AM10)/8)+((H10+K10+N10+Q10+T10+W10+Z10+AC10+AF10+AI10+AL10)/6)</f>
        <v>7.75</v>
      </c>
    </row>
    <row r="11" spans="1:41" ht="14.45">
      <c r="A11">
        <v>6</v>
      </c>
      <c r="B11" s="213" t="s">
        <v>135</v>
      </c>
      <c r="C11" s="207"/>
      <c r="D11" s="211" t="s">
        <v>136</v>
      </c>
      <c r="E11" s="165">
        <f>VLOOKUP(D:D,Positions2024!A:B,2,0)</f>
        <v>29.375</v>
      </c>
      <c r="F11" s="166">
        <f>'Current Effort - Development'!$E11*1.5</f>
        <v>44.0625</v>
      </c>
      <c r="G11" s="169"/>
      <c r="H11" s="169"/>
      <c r="I11" s="169"/>
      <c r="J11" s="170">
        <v>64</v>
      </c>
      <c r="K11" s="169"/>
      <c r="L11" s="169"/>
      <c r="M11" s="170"/>
      <c r="N11" s="169"/>
      <c r="O11" s="169"/>
      <c r="P11" s="170"/>
      <c r="Q11" s="169"/>
      <c r="R11" s="169"/>
      <c r="S11" s="170"/>
      <c r="T11" s="169"/>
      <c r="U11" s="169"/>
      <c r="V11" s="170"/>
      <c r="W11" s="169"/>
      <c r="X11" s="169"/>
      <c r="Y11" s="170"/>
      <c r="Z11" s="169"/>
      <c r="AA11" s="169"/>
      <c r="AB11" s="170"/>
      <c r="AC11" s="169"/>
      <c r="AD11" s="169"/>
      <c r="AE11" s="170"/>
      <c r="AF11" s="169"/>
      <c r="AG11" s="169"/>
      <c r="AH11" s="170"/>
      <c r="AI11" s="169"/>
      <c r="AJ11" s="169"/>
      <c r="AK11" s="170"/>
      <c r="AL11" s="169"/>
      <c r="AM11" s="169"/>
      <c r="AN11" s="171">
        <f t="shared" si="0"/>
        <v>1880</v>
      </c>
      <c r="AO11" s="165">
        <f>((G11+I11+J11+L11+M11+O11+P11+R11+S11+U11+V11+X11+Y11+AA11+AB11+AD11+AE11+AG11+AH11+AJ11+AK11+AM11)/8)+((H11+K11+N11+Q11+T11+W11+Z11+AC11+AF11+AI11+AL11)/6)</f>
        <v>8</v>
      </c>
    </row>
    <row r="12" spans="1:41" ht="14.45">
      <c r="A12">
        <v>7</v>
      </c>
      <c r="B12" s="131" t="s">
        <v>137</v>
      </c>
      <c r="C12" s="131"/>
      <c r="D12" s="211" t="s">
        <v>138</v>
      </c>
      <c r="E12" s="165">
        <f>VLOOKUP(D:D,Positions2024!A:B,2,0)</f>
        <v>112.25</v>
      </c>
      <c r="F12" s="166">
        <f>'Current Effort - Development'!$E12*1.5</f>
        <v>168.375</v>
      </c>
      <c r="G12" s="167"/>
      <c r="H12" s="167"/>
      <c r="I12" s="167"/>
      <c r="J12" s="168">
        <v>46</v>
      </c>
      <c r="K12" s="167"/>
      <c r="L12" s="167"/>
      <c r="M12" s="168"/>
      <c r="N12" s="167"/>
      <c r="O12" s="167"/>
      <c r="P12" s="168"/>
      <c r="Q12" s="167"/>
      <c r="R12" s="167"/>
      <c r="S12" s="168"/>
      <c r="T12" s="167"/>
      <c r="U12" s="167"/>
      <c r="V12" s="168"/>
      <c r="W12" s="167"/>
      <c r="X12" s="167"/>
      <c r="Y12" s="168"/>
      <c r="Z12" s="167"/>
      <c r="AA12" s="167"/>
      <c r="AB12" s="168"/>
      <c r="AC12" s="167"/>
      <c r="AD12" s="167"/>
      <c r="AE12" s="168"/>
      <c r="AF12" s="167"/>
      <c r="AG12" s="167"/>
      <c r="AH12" s="168"/>
      <c r="AI12" s="167"/>
      <c r="AJ12" s="167"/>
      <c r="AK12" s="168"/>
      <c r="AL12" s="167"/>
      <c r="AM12" s="167"/>
      <c r="AN12" s="171">
        <f t="shared" si="0"/>
        <v>5163.5</v>
      </c>
      <c r="AO12" s="165">
        <f>((G12+I12+J12+L12+M12+O12+P12+R12+S12+U12+V12+X12+Y12+AA12+AB12+AD12+AE12+AG12+AH12+AJ12+AK12+AM12)/8)+((H12+K12+N12+Q12+T12+W12+Z12+AC12+AF12+AI12+AL12)/6)</f>
        <v>5.75</v>
      </c>
    </row>
    <row r="13" spans="1:41" ht="14.45">
      <c r="A13">
        <v>8</v>
      </c>
      <c r="B13" s="213" t="s">
        <v>139</v>
      </c>
      <c r="C13" s="207"/>
      <c r="D13" s="212" t="s">
        <v>128</v>
      </c>
      <c r="E13" s="165">
        <f>VLOOKUP(D:D,Positions2024!A:B,2,0)</f>
        <v>31.625</v>
      </c>
      <c r="F13" s="166">
        <f>'Current Effort - Development'!$E13*1.5</f>
        <v>47.4375</v>
      </c>
      <c r="G13" s="169"/>
      <c r="H13" s="169"/>
      <c r="I13" s="169"/>
      <c r="J13" s="170">
        <v>25</v>
      </c>
      <c r="K13" s="169"/>
      <c r="L13" s="169"/>
      <c r="M13" s="170"/>
      <c r="N13" s="169"/>
      <c r="O13" s="169"/>
      <c r="P13" s="170"/>
      <c r="Q13" s="169"/>
      <c r="R13" s="169"/>
      <c r="S13" s="170"/>
      <c r="T13" s="169"/>
      <c r="U13" s="169"/>
      <c r="V13" s="170"/>
      <c r="W13" s="169"/>
      <c r="X13" s="169"/>
      <c r="Y13" s="170"/>
      <c r="Z13" s="169"/>
      <c r="AA13" s="169"/>
      <c r="AB13" s="170"/>
      <c r="AC13" s="169"/>
      <c r="AD13" s="169"/>
      <c r="AE13" s="170"/>
      <c r="AF13" s="169"/>
      <c r="AG13" s="169"/>
      <c r="AH13" s="170"/>
      <c r="AI13" s="169"/>
      <c r="AJ13" s="169"/>
      <c r="AK13" s="168"/>
      <c r="AL13" s="167"/>
      <c r="AM13" s="167"/>
      <c r="AN13" s="171">
        <f t="shared" si="0"/>
        <v>790.625</v>
      </c>
      <c r="AO13" s="165">
        <f>((G13+I13+J13+L13+M13+O13+P13+R13+S13+U13+V13+X13+Y13+AA13+AB13+AD13+AE13+AG13+AH13+AJ13+AK13+AM13)/8)+((H13+K13+N13+Q13+T13+W13+Z13+AC13+AF13+AI13+AL13)/6)</f>
        <v>3.125</v>
      </c>
    </row>
    <row r="14" spans="1:41" ht="14.45">
      <c r="A14">
        <v>9</v>
      </c>
      <c r="B14" s="131" t="s">
        <v>140</v>
      </c>
      <c r="C14" s="131"/>
      <c r="D14" s="211" t="s">
        <v>141</v>
      </c>
      <c r="E14" s="165">
        <f>VLOOKUP(D:D,Positions2024!A:B,2,0)</f>
        <v>34.625</v>
      </c>
      <c r="F14" s="166">
        <f>'Current Effort - Development'!$E14*1.5</f>
        <v>51.9375</v>
      </c>
      <c r="G14" s="167">
        <v>45</v>
      </c>
      <c r="H14" s="167">
        <v>73</v>
      </c>
      <c r="I14" s="167"/>
      <c r="J14" s="168">
        <v>127.5</v>
      </c>
      <c r="K14" s="167"/>
      <c r="L14" s="167"/>
      <c r="M14" s="168"/>
      <c r="N14" s="167"/>
      <c r="O14" s="167"/>
      <c r="P14" s="168"/>
      <c r="Q14" s="167"/>
      <c r="R14" s="167"/>
      <c r="S14" s="168"/>
      <c r="T14" s="167"/>
      <c r="U14" s="167"/>
      <c r="V14" s="168"/>
      <c r="W14" s="167"/>
      <c r="X14" s="167"/>
      <c r="Y14" s="168"/>
      <c r="Z14" s="167"/>
      <c r="AA14" s="167"/>
      <c r="AB14" s="168"/>
      <c r="AC14" s="167"/>
      <c r="AD14" s="167"/>
      <c r="AE14" s="168"/>
      <c r="AF14" s="167"/>
      <c r="AG14" s="167"/>
      <c r="AH14" s="168"/>
      <c r="AI14" s="167"/>
      <c r="AJ14" s="167"/>
      <c r="AK14" s="170"/>
      <c r="AL14" s="169"/>
      <c r="AM14" s="169"/>
      <c r="AN14" s="171">
        <f t="shared" si="0"/>
        <v>8500.4375</v>
      </c>
      <c r="AO14" s="165">
        <f>((G14+I14+J14+L14+M14+O14+P14+R14+S14+U14+V14+X14+Y14+AA14+AB14+AD14+AE14+AG14+AH14+AJ14+AK14+AM14)/8)+((H14+K14+N14+Q14+T14+W14+Z14+AC14+AF14+AI14+AL14)/6)</f>
        <v>33.729166666666664</v>
      </c>
    </row>
    <row r="15" spans="1:41" ht="14.45">
      <c r="A15">
        <v>10</v>
      </c>
      <c r="B15" s="213" t="s">
        <v>140</v>
      </c>
      <c r="C15" s="207"/>
      <c r="D15" s="212" t="s">
        <v>142</v>
      </c>
      <c r="E15" s="165">
        <f>VLOOKUP(D:D,Positions2024!A:B,2,0)</f>
        <v>58.298749999999998</v>
      </c>
      <c r="F15" s="166">
        <f>'Current Effort - Development'!$E15*1.5</f>
        <v>87.448125000000005</v>
      </c>
      <c r="G15" s="169"/>
      <c r="H15" s="169"/>
      <c r="I15" s="169"/>
      <c r="J15" s="170"/>
      <c r="K15" s="169"/>
      <c r="L15" s="169"/>
      <c r="M15" s="170"/>
      <c r="N15" s="169"/>
      <c r="O15" s="169"/>
      <c r="P15" s="170"/>
      <c r="Q15" s="169"/>
      <c r="R15" s="169"/>
      <c r="S15" s="170"/>
      <c r="T15" s="169"/>
      <c r="U15" s="169"/>
      <c r="V15" s="170"/>
      <c r="W15" s="169"/>
      <c r="X15" s="169"/>
      <c r="Y15" s="170"/>
      <c r="Z15" s="169"/>
      <c r="AA15" s="169"/>
      <c r="AB15" s="170"/>
      <c r="AC15" s="169"/>
      <c r="AD15" s="169"/>
      <c r="AE15" s="170"/>
      <c r="AF15" s="169"/>
      <c r="AG15" s="169"/>
      <c r="AH15" s="170"/>
      <c r="AI15" s="169"/>
      <c r="AJ15" s="169"/>
      <c r="AK15" s="168"/>
      <c r="AL15" s="167"/>
      <c r="AM15" s="167"/>
      <c r="AN15" s="171">
        <f t="shared" si="0"/>
        <v>0</v>
      </c>
      <c r="AO15" s="165">
        <f>((G15+I15+J15+L15+M15+O15+P15+R15+S15+U15+V15+X15+Y15+AA15+AB15+AD15+AE15+AG15+AH15+AJ15+AK15+AM15)/8)+((H15+K15+N15+Q15+T15+W15+Z15+AC15+AF15+AI15+AL15)/6)</f>
        <v>0</v>
      </c>
    </row>
    <row r="16" spans="1:41" ht="14.45">
      <c r="A16">
        <v>11</v>
      </c>
      <c r="B16" s="131" t="s">
        <v>143</v>
      </c>
      <c r="C16" s="131"/>
      <c r="D16" s="212" t="s">
        <v>144</v>
      </c>
      <c r="E16" s="165">
        <f>VLOOKUP(D:D,Positions2024!A:B,2,0)</f>
        <v>58.298749999999998</v>
      </c>
      <c r="F16" s="166">
        <f>'Current Effort - Development'!$E16*1.5</f>
        <v>87.448125000000005</v>
      </c>
      <c r="G16" s="167">
        <v>10</v>
      </c>
      <c r="H16" s="167"/>
      <c r="I16" s="167"/>
      <c r="J16" s="168">
        <v>32</v>
      </c>
      <c r="K16" s="167"/>
      <c r="L16" s="167"/>
      <c r="M16" s="168"/>
      <c r="N16" s="167"/>
      <c r="O16" s="167"/>
      <c r="P16" s="168"/>
      <c r="Q16" s="167"/>
      <c r="R16" s="167"/>
      <c r="S16" s="168"/>
      <c r="T16" s="167"/>
      <c r="U16" s="167"/>
      <c r="V16" s="168"/>
      <c r="W16" s="167"/>
      <c r="X16" s="167"/>
      <c r="Y16" s="168"/>
      <c r="Z16" s="167"/>
      <c r="AA16" s="167"/>
      <c r="AB16" s="168"/>
      <c r="AC16" s="167"/>
      <c r="AD16" s="167"/>
      <c r="AE16" s="168"/>
      <c r="AF16" s="167"/>
      <c r="AG16" s="167"/>
      <c r="AH16" s="168"/>
      <c r="AI16" s="167"/>
      <c r="AJ16" s="167"/>
      <c r="AK16" s="168"/>
      <c r="AL16" s="167"/>
      <c r="AM16" s="167"/>
      <c r="AN16" s="171">
        <f t="shared" si="0"/>
        <v>2448.5475000000001</v>
      </c>
      <c r="AO16" s="165">
        <f>((G16+I16+J16+L16+M16+O16+P16+R16+S16+U16+V16+X16+Y16+AA16+AB16+AD16+AE16+AG16+AH16+AJ16+AK16+AM16)/8)+((H16+K16+N16+Q16+T16+W16+Z16+AC16+AF16+AI16+AL16)/6)</f>
        <v>5.25</v>
      </c>
    </row>
    <row r="17" spans="1:41" ht="14.45">
      <c r="A17">
        <v>12</v>
      </c>
      <c r="B17" s="213" t="s">
        <v>145</v>
      </c>
      <c r="C17" s="207"/>
      <c r="D17" s="212" t="s">
        <v>146</v>
      </c>
      <c r="E17" s="165">
        <f>VLOOKUP(D:D,Positions2024!A:B,2,0)</f>
        <v>51.631250000000001</v>
      </c>
      <c r="F17" s="166">
        <f>'Current Effort - Development'!$E17*1.5</f>
        <v>77.446875000000006</v>
      </c>
      <c r="G17" s="169"/>
      <c r="H17" s="169">
        <v>12</v>
      </c>
      <c r="I17" s="169"/>
      <c r="J17" s="170"/>
      <c r="K17" s="169"/>
      <c r="L17" s="169"/>
      <c r="M17" s="170"/>
      <c r="N17" s="169"/>
      <c r="O17" s="169"/>
      <c r="P17" s="170"/>
      <c r="Q17" s="169"/>
      <c r="R17" s="169"/>
      <c r="S17" s="170"/>
      <c r="T17" s="169"/>
      <c r="U17" s="169"/>
      <c r="V17" s="170"/>
      <c r="W17" s="169"/>
      <c r="X17" s="169"/>
      <c r="Y17" s="170"/>
      <c r="Z17" s="169"/>
      <c r="AA17" s="169"/>
      <c r="AB17" s="170"/>
      <c r="AC17" s="169"/>
      <c r="AD17" s="169"/>
      <c r="AE17" s="170"/>
      <c r="AF17" s="169"/>
      <c r="AG17" s="169"/>
      <c r="AH17" s="170"/>
      <c r="AI17" s="169"/>
      <c r="AJ17" s="169"/>
      <c r="AK17" s="170"/>
      <c r="AL17" s="169"/>
      <c r="AM17" s="169"/>
      <c r="AN17" s="171">
        <f t="shared" si="0"/>
        <v>619.57500000000005</v>
      </c>
      <c r="AO17" s="165">
        <f>((G17+I17+J17+L17+M17+O17+P17+R17+S17+U17+V17+X17+Y17+AA17+AB17+AD17+AE17+AG17+AH17+AJ17+AK17+AM17)/8)+((H17+K17+N17+Q17+T17+W17+Z17+AC17+AF17+AI17+AL17)/6)</f>
        <v>2</v>
      </c>
    </row>
    <row r="18" spans="1:41" ht="14.45">
      <c r="A18">
        <v>13</v>
      </c>
      <c r="B18" s="131" t="s">
        <v>147</v>
      </c>
      <c r="C18" s="131"/>
      <c r="D18" s="211" t="s">
        <v>136</v>
      </c>
      <c r="E18" s="165">
        <f>VLOOKUP(D:D,Positions2024!A:B,2,0)</f>
        <v>29.375</v>
      </c>
      <c r="F18" s="166">
        <f>'Current Effort - Development'!$E18*1.5</f>
        <v>44.0625</v>
      </c>
      <c r="G18" s="167"/>
      <c r="H18" s="167"/>
      <c r="I18" s="167"/>
      <c r="J18" s="168">
        <v>67</v>
      </c>
      <c r="K18" s="167"/>
      <c r="L18" s="167"/>
      <c r="M18" s="168"/>
      <c r="N18" s="167"/>
      <c r="O18" s="167"/>
      <c r="P18" s="168"/>
      <c r="Q18" s="167"/>
      <c r="R18" s="167"/>
      <c r="S18" s="168"/>
      <c r="T18" s="167"/>
      <c r="U18" s="167"/>
      <c r="V18" s="168"/>
      <c r="W18" s="167"/>
      <c r="X18" s="167"/>
      <c r="Y18" s="168"/>
      <c r="Z18" s="167"/>
      <c r="AA18" s="167"/>
      <c r="AB18" s="168"/>
      <c r="AC18" s="167"/>
      <c r="AD18" s="167"/>
      <c r="AE18" s="168"/>
      <c r="AF18" s="167"/>
      <c r="AG18" s="167"/>
      <c r="AH18" s="168"/>
      <c r="AI18" s="167"/>
      <c r="AJ18" s="167"/>
      <c r="AK18" s="168"/>
      <c r="AL18" s="167"/>
      <c r="AM18" s="167"/>
      <c r="AN18" s="171">
        <f t="shared" si="0"/>
        <v>1968.125</v>
      </c>
      <c r="AO18" s="165">
        <f>((G18+I18+J18+L18+M18+O18+P18+R18+S18+U18+V18+X18+Y18+AA18+AB18+AD18+AE18+AG18+AH18+AJ18+AK18+AM18)/8)+((H18+K18+N18+Q18+T18+W18+Z18+AC18+AF18+AI18+AL18)/6)</f>
        <v>8.375</v>
      </c>
    </row>
    <row r="19" spans="1:41" ht="17.25" customHeight="1">
      <c r="D19" s="4"/>
      <c r="E19" s="28"/>
      <c r="F19" s="28"/>
      <c r="G19" s="176"/>
      <c r="H19" s="177"/>
      <c r="I19" s="214">
        <f>(SUM(G6:G18)+SUM(I6:I18))/8+SUM(H6:H18)/6</f>
        <v>30.833333333333332</v>
      </c>
      <c r="J19" s="214"/>
      <c r="K19" s="214"/>
      <c r="L19" s="214">
        <f>(SUM(J6:J18)+SUM(L6:L18))/8+SUM(K6:K18)/6</f>
        <v>77.5625</v>
      </c>
      <c r="M19" s="180"/>
      <c r="N19" s="180"/>
      <c r="O19" s="178"/>
      <c r="P19" s="176"/>
      <c r="Q19" s="176"/>
      <c r="R19" s="178"/>
      <c r="S19" s="176"/>
      <c r="T19" s="176"/>
      <c r="U19" s="178"/>
      <c r="V19" s="176"/>
      <c r="W19" s="176"/>
      <c r="X19" s="178"/>
      <c r="Y19" s="176"/>
      <c r="Z19" s="176"/>
      <c r="AA19" s="178"/>
      <c r="AB19" s="176"/>
      <c r="AC19" s="176"/>
      <c r="AD19" s="178"/>
      <c r="AE19" s="176"/>
      <c r="AF19" s="176"/>
      <c r="AG19" s="178"/>
      <c r="AH19" s="178"/>
      <c r="AI19" s="178"/>
      <c r="AJ19" s="178"/>
      <c r="AK19" s="210"/>
      <c r="AL19" s="210"/>
      <c r="AM19" s="210"/>
      <c r="AN19" s="175">
        <f>SUM(AN6:AN18)</f>
        <v>40075.31</v>
      </c>
      <c r="AO19" s="175">
        <f>SUM(AO6:AO18)</f>
        <v>108.39583333333333</v>
      </c>
    </row>
    <row r="20" spans="1:41" ht="14.45">
      <c r="D20" s="4">
        <f>214+620</f>
        <v>834</v>
      </c>
      <c r="E20" s="28"/>
      <c r="F20" s="73"/>
      <c r="G20" s="73"/>
      <c r="H20" s="73"/>
      <c r="I20" s="73"/>
      <c r="J20" s="73"/>
      <c r="K20" s="24"/>
      <c r="L20" s="24"/>
      <c r="M20" s="28"/>
      <c r="N20" s="57"/>
    </row>
    <row r="21" spans="1:41" ht="14.45">
      <c r="D21" s="4"/>
      <c r="E21" s="28"/>
      <c r="F21" s="73"/>
      <c r="G21" s="73"/>
      <c r="H21" s="73"/>
      <c r="I21" s="73"/>
      <c r="J21" s="73"/>
      <c r="K21" s="24"/>
      <c r="L21" s="24"/>
      <c r="M21" s="28"/>
      <c r="N21" s="57"/>
    </row>
    <row r="22" spans="1:41" ht="14.1">
      <c r="F22" s="39" t="s">
        <v>148</v>
      </c>
      <c r="G22" s="39"/>
      <c r="H22" s="40"/>
      <c r="I22" s="40"/>
      <c r="J22" s="40"/>
      <c r="K22" s="40"/>
      <c r="L22" s="40"/>
      <c r="M22" s="40"/>
      <c r="N22" s="41">
        <f>AN19*3.75</f>
        <v>150282.41249999998</v>
      </c>
      <c r="P22" s="209"/>
    </row>
    <row r="23" spans="1:41" ht="14.1">
      <c r="F23" s="39" t="s">
        <v>149</v>
      </c>
      <c r="G23" s="39"/>
      <c r="H23" s="40"/>
      <c r="I23" s="40"/>
      <c r="J23" s="40"/>
      <c r="K23" s="40"/>
      <c r="L23" s="40"/>
      <c r="M23" s="40"/>
      <c r="N23" s="41">
        <f>N22/AO19</f>
        <v>1386.4224101479913</v>
      </c>
      <c r="O23" s="29"/>
      <c r="P23" s="37"/>
    </row>
    <row r="25" spans="1:41" ht="14.1"/>
    <row r="26" spans="1:41" ht="14.1">
      <c r="C26" s="131"/>
    </row>
    <row r="27" spans="1:41" ht="14.45">
      <c r="C27" s="207"/>
    </row>
    <row r="28" spans="1:41" ht="14.1">
      <c r="C28" s="131"/>
      <c r="N28" s="29"/>
    </row>
    <row r="29" spans="1:41" ht="14.45">
      <c r="C29" s="207"/>
    </row>
    <row r="30" spans="1:41" ht="14.45">
      <c r="C30" s="207"/>
    </row>
    <row r="31" spans="1:41" ht="14.1">
      <c r="C31" s="131"/>
    </row>
    <row r="32" spans="1:41" ht="14.45">
      <c r="C32" s="207"/>
    </row>
    <row r="33" spans="3:14" ht="14.1">
      <c r="C33" s="131"/>
    </row>
    <row r="34" spans="3:14" ht="14.1">
      <c r="M34" s="37"/>
    </row>
    <row r="35" spans="3:14" ht="14.45">
      <c r="C35" s="207"/>
      <c r="M35" s="37"/>
    </row>
    <row r="36" spans="3:14" ht="14.1">
      <c r="M36" s="37"/>
      <c r="N36" s="37"/>
    </row>
    <row r="37" spans="3:14" ht="14.1"/>
    <row r="38" spans="3:14" ht="14.1"/>
    <row r="39" spans="3:14" ht="14.1"/>
    <row r="40" spans="3:14" ht="14.1"/>
    <row r="41" spans="3:14" ht="14.1"/>
    <row r="42" spans="3:14" ht="14.1"/>
    <row r="43" spans="3:14" ht="14.1"/>
    <row r="44" spans="3:14" ht="14.1"/>
    <row r="45" spans="3:14" ht="14.1"/>
  </sheetData>
  <mergeCells count="12">
    <mergeCell ref="AK4:AM4"/>
    <mergeCell ref="B1:D1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</mergeCells>
  <phoneticPr fontId="28" type="noConversion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57"/>
  <sheetViews>
    <sheetView topLeftCell="A26" zoomScale="69" zoomScaleNormal="100" workbookViewId="0">
      <selection activeCell="V46" sqref="V46"/>
    </sheetView>
  </sheetViews>
  <sheetFormatPr defaultColWidth="9.125" defaultRowHeight="15" customHeight="1"/>
  <cols>
    <col min="2" max="2" width="32.125" customWidth="1"/>
    <col min="3" max="3" width="3.875" customWidth="1"/>
    <col min="4" max="4" width="29.125" customWidth="1"/>
    <col min="5" max="6" width="16.375" customWidth="1"/>
    <col min="7" max="11" width="15.375" customWidth="1"/>
    <col min="12" max="12" width="28.375" customWidth="1"/>
    <col min="13" max="13" width="15.375" customWidth="1"/>
    <col min="14" max="14" width="18" customWidth="1"/>
    <col min="15" max="31" width="15.375" customWidth="1"/>
    <col min="32" max="32" width="16.125" customWidth="1"/>
    <col min="33" max="42" width="15.375" customWidth="1"/>
    <col min="43" max="43" width="19" customWidth="1"/>
    <col min="44" max="44" width="16.375" customWidth="1"/>
  </cols>
  <sheetData>
    <row r="1" spans="1:44" ht="15.6">
      <c r="B1" s="272" t="s">
        <v>104</v>
      </c>
      <c r="C1" s="272"/>
      <c r="D1" s="272"/>
    </row>
    <row r="4" spans="1:44" ht="18">
      <c r="D4" s="163"/>
      <c r="E4" s="163"/>
      <c r="G4" s="273" t="s">
        <v>107</v>
      </c>
      <c r="H4" s="271"/>
      <c r="I4" s="271"/>
      <c r="J4" s="271" t="s">
        <v>108</v>
      </c>
      <c r="K4" s="271"/>
      <c r="L4" s="271"/>
      <c r="M4" s="271" t="s">
        <v>109</v>
      </c>
      <c r="N4" s="271"/>
      <c r="O4" s="271"/>
      <c r="P4" s="271" t="s">
        <v>150</v>
      </c>
      <c r="Q4" s="271"/>
      <c r="R4" s="271"/>
      <c r="S4" s="164"/>
      <c r="T4" s="164" t="s">
        <v>111</v>
      </c>
      <c r="U4" s="164"/>
      <c r="V4" s="164"/>
      <c r="W4" s="164" t="s">
        <v>112</v>
      </c>
      <c r="X4" s="164"/>
      <c r="Y4" s="164"/>
      <c r="Z4" s="164" t="s">
        <v>113</v>
      </c>
      <c r="AA4" s="164"/>
      <c r="AB4" s="164"/>
      <c r="AC4" s="164" t="s">
        <v>114</v>
      </c>
      <c r="AD4" s="164"/>
      <c r="AE4" s="164"/>
      <c r="AF4" s="164" t="s">
        <v>115</v>
      </c>
      <c r="AG4" s="164"/>
      <c r="AH4" s="164"/>
      <c r="AI4" s="164" t="s">
        <v>151</v>
      </c>
      <c r="AJ4" s="164"/>
      <c r="AK4" s="164"/>
      <c r="AL4" s="164" t="s">
        <v>105</v>
      </c>
      <c r="AM4" s="164"/>
      <c r="AN4" s="164"/>
      <c r="AO4" s="164" t="s">
        <v>106</v>
      </c>
      <c r="AP4" s="164"/>
    </row>
    <row r="5" spans="1:44" s="134" customFormat="1" ht="30" customHeight="1">
      <c r="A5" s="173" t="s">
        <v>36</v>
      </c>
      <c r="B5" s="173" t="s">
        <v>116</v>
      </c>
      <c r="C5" s="173"/>
      <c r="D5" s="173" t="s">
        <v>117</v>
      </c>
      <c r="E5" s="172" t="s">
        <v>118</v>
      </c>
      <c r="F5" s="172" t="s">
        <v>119</v>
      </c>
      <c r="G5" s="174" t="s">
        <v>120</v>
      </c>
      <c r="H5" s="174" t="s">
        <v>121</v>
      </c>
      <c r="I5" s="174" t="s">
        <v>122</v>
      </c>
      <c r="J5" s="174" t="s">
        <v>120</v>
      </c>
      <c r="K5" s="174" t="s">
        <v>121</v>
      </c>
      <c r="L5" s="174" t="s">
        <v>122</v>
      </c>
      <c r="M5" s="174" t="s">
        <v>120</v>
      </c>
      <c r="N5" s="174" t="s">
        <v>121</v>
      </c>
      <c r="O5" s="174" t="s">
        <v>122</v>
      </c>
      <c r="P5" s="174" t="s">
        <v>120</v>
      </c>
      <c r="Q5" s="174" t="s">
        <v>121</v>
      </c>
      <c r="R5" s="174" t="s">
        <v>122</v>
      </c>
      <c r="S5" s="174" t="s">
        <v>120</v>
      </c>
      <c r="T5" s="174" t="s">
        <v>121</v>
      </c>
      <c r="U5" s="174" t="s">
        <v>122</v>
      </c>
      <c r="V5" s="174" t="s">
        <v>120</v>
      </c>
      <c r="W5" s="174" t="s">
        <v>121</v>
      </c>
      <c r="X5" s="174" t="s">
        <v>122</v>
      </c>
      <c r="Y5" s="174" t="s">
        <v>120</v>
      </c>
      <c r="Z5" s="174" t="s">
        <v>121</v>
      </c>
      <c r="AA5" s="174" t="s">
        <v>122</v>
      </c>
      <c r="AB5" s="174" t="s">
        <v>120</v>
      </c>
      <c r="AC5" s="174" t="s">
        <v>121</v>
      </c>
      <c r="AD5" s="174" t="s">
        <v>122</v>
      </c>
      <c r="AE5" s="174" t="s">
        <v>120</v>
      </c>
      <c r="AF5" s="174" t="s">
        <v>121</v>
      </c>
      <c r="AG5" s="174" t="s">
        <v>122</v>
      </c>
      <c r="AH5" s="174" t="s">
        <v>120</v>
      </c>
      <c r="AI5" s="174" t="s">
        <v>121</v>
      </c>
      <c r="AJ5" s="174" t="s">
        <v>122</v>
      </c>
      <c r="AK5" s="174" t="s">
        <v>120</v>
      </c>
      <c r="AL5" s="174" t="s">
        <v>121</v>
      </c>
      <c r="AM5" s="174" t="s">
        <v>122</v>
      </c>
      <c r="AN5" s="174" t="s">
        <v>120</v>
      </c>
      <c r="AO5" s="174" t="s">
        <v>121</v>
      </c>
      <c r="AP5" s="174" t="s">
        <v>122</v>
      </c>
      <c r="AQ5" s="172" t="s">
        <v>123</v>
      </c>
      <c r="AR5" s="172" t="s">
        <v>124</v>
      </c>
    </row>
    <row r="6" spans="1:44" ht="14.45">
      <c r="A6">
        <v>1</v>
      </c>
      <c r="B6" s="131" t="s">
        <v>125</v>
      </c>
      <c r="C6" s="131"/>
      <c r="D6" s="211" t="s">
        <v>126</v>
      </c>
      <c r="E6" s="165">
        <f>VLOOKUP(D:D,Positions2024!A:B,2,0)</f>
        <v>112.25</v>
      </c>
      <c r="F6" s="166">
        <f>'Current Effort - Consultation'!$E6*1.5</f>
        <v>168.375</v>
      </c>
      <c r="G6" s="167"/>
      <c r="H6" s="167"/>
      <c r="I6" s="167"/>
      <c r="J6" s="168">
        <v>56</v>
      </c>
      <c r="K6" s="167"/>
      <c r="L6" s="167"/>
      <c r="M6" s="168">
        <v>96</v>
      </c>
      <c r="N6" s="167"/>
      <c r="O6" s="167"/>
      <c r="P6" s="168">
        <v>128</v>
      </c>
      <c r="Q6" s="167"/>
      <c r="R6" s="167"/>
      <c r="S6" s="168">
        <v>168</v>
      </c>
      <c r="T6" s="167"/>
      <c r="U6" s="167"/>
      <c r="V6" s="168">
        <v>168</v>
      </c>
      <c r="W6" s="167"/>
      <c r="X6" s="167"/>
      <c r="Y6" s="168">
        <f>160+8</f>
        <v>168</v>
      </c>
      <c r="Z6" s="167"/>
      <c r="AA6" s="167"/>
      <c r="AB6" s="168">
        <v>136</v>
      </c>
      <c r="AC6" s="167"/>
      <c r="AD6" s="167"/>
      <c r="AE6" s="168">
        <v>128</v>
      </c>
      <c r="AF6" s="167"/>
      <c r="AG6" s="167"/>
      <c r="AH6" s="168">
        <v>104</v>
      </c>
      <c r="AI6" s="167">
        <v>36</v>
      </c>
      <c r="AJ6" s="167"/>
      <c r="AK6" s="168">
        <f>8*4</f>
        <v>32</v>
      </c>
      <c r="AL6" s="167">
        <v>84</v>
      </c>
      <c r="AM6" s="167"/>
      <c r="AN6" s="168">
        <v>80</v>
      </c>
      <c r="AO6" s="167"/>
      <c r="AP6" s="167"/>
      <c r="AQ6" s="171">
        <f>SUM(G6:H6,J6:K6,M6:N6,P6:Q6,S6:T6,V6:W6,Y6:Z6,AB6:AC6,AE6:AF6,AE6:AF6,AH6:AI6,AK6:AL6,AN6:AO6)*E6+SUM(I6,L6,O6,R6,U6,X6,AA6,AD6,AG6,AJ6,AM6,AP6)*F6</f>
        <v>169722</v>
      </c>
      <c r="AR6" s="165">
        <f t="shared" ref="AR6:AR30" si="0">((G6+I6+J6+L6+M6+O6+P6+R6+S6+U6+V6+X6+Y6+AA6+AB6+AD6+AE6+AG6+AH6+AJ6+AK6+AM6+AN6+AP6)/8)+((H6+K6+N6+Q6+T6+W6+Z6+AC6+AF6+AI6+AL6+AO6)/6)</f>
        <v>178</v>
      </c>
    </row>
    <row r="7" spans="1:44" ht="14.45">
      <c r="A7">
        <v>2</v>
      </c>
      <c r="B7" s="213" t="s">
        <v>152</v>
      </c>
      <c r="C7" s="207"/>
      <c r="D7" s="212" t="s">
        <v>138</v>
      </c>
      <c r="E7" s="165">
        <f>VLOOKUP(D:D,Positions2024!A:B,2,0)</f>
        <v>112.25</v>
      </c>
      <c r="F7" s="166">
        <f>'Current Effort - Consultation'!$E7*1.5</f>
        <v>168.375</v>
      </c>
      <c r="G7" s="169"/>
      <c r="H7" s="169"/>
      <c r="I7" s="169"/>
      <c r="J7" s="170">
        <v>56</v>
      </c>
      <c r="K7" s="169"/>
      <c r="L7" s="169"/>
      <c r="M7" s="170">
        <v>152</v>
      </c>
      <c r="N7" s="169"/>
      <c r="O7" s="169"/>
      <c r="P7" s="170">
        <v>160</v>
      </c>
      <c r="Q7" s="169"/>
      <c r="R7" s="169"/>
      <c r="S7" s="170">
        <v>160</v>
      </c>
      <c r="T7" s="169"/>
      <c r="U7" s="169"/>
      <c r="V7" s="170">
        <v>160</v>
      </c>
      <c r="W7" s="169"/>
      <c r="X7" s="169"/>
      <c r="Y7" s="170">
        <f>160+8</f>
        <v>168</v>
      </c>
      <c r="Z7" s="169"/>
      <c r="AA7" s="169"/>
      <c r="AB7" s="170">
        <v>136</v>
      </c>
      <c r="AC7" s="169"/>
      <c r="AD7" s="169"/>
      <c r="AE7" s="170">
        <v>168</v>
      </c>
      <c r="AF7" s="169"/>
      <c r="AG7" s="169"/>
      <c r="AH7" s="170">
        <v>104</v>
      </c>
      <c r="AI7" s="169">
        <v>36</v>
      </c>
      <c r="AJ7" s="169"/>
      <c r="AK7" s="170">
        <v>40</v>
      </c>
      <c r="AL7" s="169">
        <v>94.5</v>
      </c>
      <c r="AM7" s="169"/>
      <c r="AN7" s="170">
        <v>149</v>
      </c>
      <c r="AO7" s="169"/>
      <c r="AP7" s="169"/>
      <c r="AQ7" s="171">
        <f t="shared" ref="AQ7:AQ30" si="1">SUM(G7:H7,J7:K7,M7:N7,P7:Q7,S7:T7,V7:W7,Y7:Z7,AB7:AC7,AE7:AF7,AE7:AF7,AH7:AI7,AK7:AL7,AN7:AO7)*E7+SUM(I7,L7,O7,R7,U7,X7,AA7,AD7,AG7,AJ7,AM7,AP7)*F7</f>
        <v>196605.875</v>
      </c>
      <c r="AR7" s="165">
        <f t="shared" si="0"/>
        <v>203.375</v>
      </c>
    </row>
    <row r="8" spans="1:44" ht="14.45">
      <c r="A8">
        <v>3</v>
      </c>
      <c r="B8" s="131" t="s">
        <v>153</v>
      </c>
      <c r="C8" s="131"/>
      <c r="D8" s="211" t="s">
        <v>154</v>
      </c>
      <c r="E8" s="165">
        <f>VLOOKUP(D:D,Positions2024!A:B,2,0)</f>
        <v>45.215000000000003</v>
      </c>
      <c r="F8" s="166">
        <f>'Current Effort - Consultation'!$E8*1.5</f>
        <v>67.822500000000005</v>
      </c>
      <c r="G8" s="167"/>
      <c r="H8" s="167"/>
      <c r="I8" s="167"/>
      <c r="J8" s="168">
        <v>52</v>
      </c>
      <c r="K8" s="167"/>
      <c r="L8" s="167">
        <v>8</v>
      </c>
      <c r="M8" s="168">
        <v>168</v>
      </c>
      <c r="N8" s="167"/>
      <c r="O8" s="167">
        <v>16</v>
      </c>
      <c r="P8" s="168">
        <v>167</v>
      </c>
      <c r="Q8" s="167"/>
      <c r="R8" s="167"/>
      <c r="S8" s="168">
        <v>144</v>
      </c>
      <c r="T8" s="167"/>
      <c r="U8" s="167"/>
      <c r="V8" s="168">
        <f>159-X8</f>
        <v>151</v>
      </c>
      <c r="W8" s="167"/>
      <c r="X8" s="167">
        <v>8</v>
      </c>
      <c r="Y8" s="168">
        <f>152+16</f>
        <v>168</v>
      </c>
      <c r="Z8" s="167"/>
      <c r="AA8" s="167"/>
      <c r="AB8" s="168">
        <f>167+16</f>
        <v>183</v>
      </c>
      <c r="AC8" s="167"/>
      <c r="AD8" s="167"/>
      <c r="AE8" s="168"/>
      <c r="AF8" s="167"/>
      <c r="AG8" s="167"/>
      <c r="AH8" s="168"/>
      <c r="AI8" s="167"/>
      <c r="AJ8" s="167"/>
      <c r="AK8" s="168"/>
      <c r="AL8" s="167"/>
      <c r="AM8" s="167"/>
      <c r="AN8" s="168"/>
      <c r="AO8" s="167"/>
      <c r="AP8" s="167"/>
      <c r="AQ8" s="171">
        <f t="shared" si="1"/>
        <v>48877.415000000001</v>
      </c>
      <c r="AR8" s="165">
        <f t="shared" si="0"/>
        <v>133.125</v>
      </c>
    </row>
    <row r="9" spans="1:44" ht="14.45">
      <c r="A9">
        <v>4</v>
      </c>
      <c r="B9" s="213" t="s">
        <v>153</v>
      </c>
      <c r="C9" s="207"/>
      <c r="D9" s="212" t="s">
        <v>146</v>
      </c>
      <c r="E9" s="165">
        <f>VLOOKUP(D:D,Positions2024!A:B,2,0)</f>
        <v>51.631250000000001</v>
      </c>
      <c r="F9" s="166">
        <f>'Current Effort - Consultation'!$E9*1.5</f>
        <v>77.446875000000006</v>
      </c>
      <c r="G9" s="169"/>
      <c r="H9" s="169"/>
      <c r="I9" s="169"/>
      <c r="J9" s="170"/>
      <c r="K9" s="169"/>
      <c r="L9" s="169"/>
      <c r="M9" s="170"/>
      <c r="N9" s="169"/>
      <c r="O9" s="169"/>
      <c r="P9" s="170"/>
      <c r="Q9" s="169"/>
      <c r="R9" s="169"/>
      <c r="S9" s="170"/>
      <c r="T9" s="169"/>
      <c r="U9" s="169"/>
      <c r="V9" s="170"/>
      <c r="W9" s="169"/>
      <c r="X9" s="169"/>
      <c r="Y9" s="170"/>
      <c r="Z9" s="169"/>
      <c r="AA9" s="169"/>
      <c r="AB9" s="170"/>
      <c r="AC9" s="169"/>
      <c r="AD9" s="169"/>
      <c r="AE9" s="170">
        <f>129-AG9</f>
        <v>125</v>
      </c>
      <c r="AF9" s="169"/>
      <c r="AG9" s="169">
        <v>4</v>
      </c>
      <c r="AH9" s="170">
        <v>104</v>
      </c>
      <c r="AI9" s="169">
        <v>36</v>
      </c>
      <c r="AJ9" s="169"/>
      <c r="AK9" s="170">
        <v>48</v>
      </c>
      <c r="AL9" s="169">
        <f>92-AM9</f>
        <v>75.5</v>
      </c>
      <c r="AM9" s="169">
        <v>16.5</v>
      </c>
      <c r="AN9" s="170">
        <f>138.5-AN10</f>
        <v>114</v>
      </c>
      <c r="AO9" s="169"/>
      <c r="AP9" s="169"/>
      <c r="AQ9" s="171">
        <f t="shared" si="1"/>
        <v>33986.270312499997</v>
      </c>
      <c r="AR9" s="165">
        <f t="shared" si="0"/>
        <v>70.020833333333329</v>
      </c>
    </row>
    <row r="10" spans="1:44" ht="14.45">
      <c r="B10" s="131" t="s">
        <v>153</v>
      </c>
      <c r="C10" s="131"/>
      <c r="D10" s="211" t="s">
        <v>136</v>
      </c>
      <c r="E10" s="165">
        <f>VLOOKUP(D:D,Positions2024!A:B,2,0)</f>
        <v>29.375</v>
      </c>
      <c r="F10" s="166">
        <f>'Current Effort - Consultation'!$E10*1.5</f>
        <v>44.0625</v>
      </c>
      <c r="G10" s="167"/>
      <c r="H10" s="167"/>
      <c r="I10" s="167"/>
      <c r="J10" s="168"/>
      <c r="K10" s="167"/>
      <c r="L10" s="167"/>
      <c r="M10" s="168"/>
      <c r="N10" s="167"/>
      <c r="O10" s="167"/>
      <c r="P10" s="168"/>
      <c r="Q10" s="167"/>
      <c r="R10" s="167"/>
      <c r="S10" s="168"/>
      <c r="T10" s="167"/>
      <c r="U10" s="167"/>
      <c r="V10" s="168"/>
      <c r="W10" s="167"/>
      <c r="X10" s="167"/>
      <c r="Y10" s="168"/>
      <c r="Z10" s="167"/>
      <c r="AA10" s="167"/>
      <c r="AB10" s="168"/>
      <c r="AC10" s="167"/>
      <c r="AD10" s="167"/>
      <c r="AE10" s="168"/>
      <c r="AF10" s="167"/>
      <c r="AG10" s="167"/>
      <c r="AH10" s="168"/>
      <c r="AI10" s="167"/>
      <c r="AJ10" s="167"/>
      <c r="AK10" s="168"/>
      <c r="AL10" s="167"/>
      <c r="AM10" s="167"/>
      <c r="AN10" s="168">
        <f>138.5-114</f>
        <v>24.5</v>
      </c>
      <c r="AO10" s="167"/>
      <c r="AP10" s="167"/>
      <c r="AQ10" s="171">
        <f t="shared" si="1"/>
        <v>719.6875</v>
      </c>
      <c r="AR10" s="165">
        <f t="shared" si="0"/>
        <v>3.0625</v>
      </c>
    </row>
    <row r="11" spans="1:44" ht="14.45">
      <c r="A11">
        <v>5</v>
      </c>
      <c r="B11" s="213" t="s">
        <v>127</v>
      </c>
      <c r="C11" s="207"/>
      <c r="D11" s="212" t="s">
        <v>128</v>
      </c>
      <c r="E11" s="165">
        <f>VLOOKUP(D:D,Positions2024!A:B,2,0)</f>
        <v>31.625</v>
      </c>
      <c r="F11" s="166">
        <f>'Current Effort - Consultation'!$E11*1.5</f>
        <v>47.4375</v>
      </c>
      <c r="G11" s="169"/>
      <c r="H11" s="169"/>
      <c r="I11" s="169"/>
      <c r="J11" s="170"/>
      <c r="K11" s="169"/>
      <c r="L11" s="169"/>
      <c r="M11" s="170"/>
      <c r="N11" s="169"/>
      <c r="O11" s="169"/>
      <c r="P11" s="170"/>
      <c r="Q11" s="169"/>
      <c r="R11" s="169"/>
      <c r="S11" s="170"/>
      <c r="T11" s="169"/>
      <c r="U11" s="169"/>
      <c r="V11" s="170"/>
      <c r="W11" s="169"/>
      <c r="X11" s="169"/>
      <c r="Y11" s="170">
        <f>112+24</f>
        <v>136</v>
      </c>
      <c r="Z11" s="169"/>
      <c r="AA11" s="169"/>
      <c r="AB11" s="170"/>
      <c r="AC11" s="169"/>
      <c r="AD11" s="169"/>
      <c r="AE11" s="170"/>
      <c r="AF11" s="169"/>
      <c r="AG11" s="169"/>
      <c r="AH11" s="170"/>
      <c r="AI11" s="169"/>
      <c r="AJ11" s="169"/>
      <c r="AK11" s="170"/>
      <c r="AL11" s="169"/>
      <c r="AM11" s="169"/>
      <c r="AN11" s="170"/>
      <c r="AO11" s="169"/>
      <c r="AP11" s="169"/>
      <c r="AQ11" s="171">
        <f t="shared" si="1"/>
        <v>4301</v>
      </c>
      <c r="AR11" s="165">
        <f t="shared" si="0"/>
        <v>17</v>
      </c>
    </row>
    <row r="12" spans="1:44" ht="14.45">
      <c r="A12">
        <v>6</v>
      </c>
      <c r="B12" s="131" t="s">
        <v>155</v>
      </c>
      <c r="C12" s="131"/>
      <c r="D12" s="211" t="s">
        <v>128</v>
      </c>
      <c r="E12" s="165">
        <f>VLOOKUP(D:D,Positions2024!A:B,2,0)</f>
        <v>31.625</v>
      </c>
      <c r="F12" s="166">
        <f>'Current Effort - Consultation'!$E12*1.5</f>
        <v>47.4375</v>
      </c>
      <c r="G12" s="167"/>
      <c r="H12" s="167"/>
      <c r="I12" s="167"/>
      <c r="J12" s="168"/>
      <c r="K12" s="167"/>
      <c r="L12" s="167"/>
      <c r="M12" s="168"/>
      <c r="N12" s="167"/>
      <c r="O12" s="167"/>
      <c r="P12" s="168"/>
      <c r="Q12" s="167"/>
      <c r="R12" s="167"/>
      <c r="S12" s="168"/>
      <c r="T12" s="167"/>
      <c r="U12" s="167"/>
      <c r="V12" s="168">
        <v>16</v>
      </c>
      <c r="W12" s="167"/>
      <c r="X12" s="167"/>
      <c r="Y12" s="168">
        <v>13</v>
      </c>
      <c r="Z12" s="167"/>
      <c r="AA12" s="167"/>
      <c r="AB12" s="168"/>
      <c r="AC12" s="167"/>
      <c r="AD12" s="167"/>
      <c r="AE12" s="168"/>
      <c r="AF12" s="167"/>
      <c r="AG12" s="167"/>
      <c r="AH12" s="168"/>
      <c r="AI12" s="167"/>
      <c r="AJ12" s="167"/>
      <c r="AK12" s="168"/>
      <c r="AL12" s="167"/>
      <c r="AM12" s="167"/>
      <c r="AN12" s="168"/>
      <c r="AO12" s="167"/>
      <c r="AP12" s="167"/>
      <c r="AQ12" s="171">
        <f t="shared" si="1"/>
        <v>917.125</v>
      </c>
      <c r="AR12" s="165">
        <f t="shared" si="0"/>
        <v>3.625</v>
      </c>
    </row>
    <row r="13" spans="1:44" ht="14.45">
      <c r="A13">
        <v>7</v>
      </c>
      <c r="B13" s="213" t="s">
        <v>156</v>
      </c>
      <c r="C13" s="207"/>
      <c r="D13" s="212" t="s">
        <v>157</v>
      </c>
      <c r="E13" s="165">
        <f>VLOOKUP(D:D,Positions2024!A:B,2,0)</f>
        <v>56.25</v>
      </c>
      <c r="F13" s="166">
        <f>'Current Effort - Consultation'!$E13*1.5</f>
        <v>84.375</v>
      </c>
      <c r="G13" s="169"/>
      <c r="H13" s="169"/>
      <c r="I13" s="169"/>
      <c r="J13" s="170">
        <v>80.5</v>
      </c>
      <c r="K13" s="169"/>
      <c r="L13" s="169"/>
      <c r="M13" s="170">
        <v>174</v>
      </c>
      <c r="N13" s="169"/>
      <c r="O13" s="169"/>
      <c r="P13" s="170">
        <v>160</v>
      </c>
      <c r="Q13" s="169"/>
      <c r="R13" s="169"/>
      <c r="S13" s="170">
        <f>138+24</f>
        <v>162</v>
      </c>
      <c r="T13" s="169"/>
      <c r="U13" s="169"/>
      <c r="V13" s="170">
        <v>152</v>
      </c>
      <c r="W13" s="169"/>
      <c r="X13" s="169"/>
      <c r="Y13" s="170">
        <f>136+24</f>
        <v>160</v>
      </c>
      <c r="Z13" s="169"/>
      <c r="AA13" s="169"/>
      <c r="AB13" s="170">
        <f>156+16</f>
        <v>172</v>
      </c>
      <c r="AC13" s="169"/>
      <c r="AD13" s="169"/>
      <c r="AE13" s="170"/>
      <c r="AF13" s="169"/>
      <c r="AG13" s="169"/>
      <c r="AH13" s="170"/>
      <c r="AI13" s="169"/>
      <c r="AJ13" s="169"/>
      <c r="AK13" s="170"/>
      <c r="AL13" s="169"/>
      <c r="AM13" s="169"/>
      <c r="AN13" s="170"/>
      <c r="AO13" s="169"/>
      <c r="AP13" s="169"/>
      <c r="AQ13" s="171">
        <f t="shared" si="1"/>
        <v>59653.125</v>
      </c>
      <c r="AR13" s="165">
        <f t="shared" si="0"/>
        <v>132.5625</v>
      </c>
    </row>
    <row r="14" spans="1:44" ht="14.45">
      <c r="A14">
        <v>8</v>
      </c>
      <c r="B14" s="131" t="s">
        <v>156</v>
      </c>
      <c r="C14" s="131"/>
      <c r="D14" s="211" t="s">
        <v>158</v>
      </c>
      <c r="E14" s="165">
        <f>VLOOKUP(D:D,Positions2024!A:B,2,0)</f>
        <v>79.125</v>
      </c>
      <c r="F14" s="166">
        <f>'Current Effort - Consultation'!$E14*1.5</f>
        <v>118.6875</v>
      </c>
      <c r="G14" s="167"/>
      <c r="H14" s="167"/>
      <c r="I14" s="167"/>
      <c r="J14" s="168"/>
      <c r="K14" s="167"/>
      <c r="L14" s="167"/>
      <c r="M14" s="168"/>
      <c r="N14" s="167"/>
      <c r="O14" s="167"/>
      <c r="P14" s="168"/>
      <c r="Q14" s="167"/>
      <c r="R14" s="167"/>
      <c r="S14" s="168"/>
      <c r="T14" s="167"/>
      <c r="U14" s="167"/>
      <c r="V14" s="168"/>
      <c r="W14" s="167"/>
      <c r="X14" s="167"/>
      <c r="Y14" s="168"/>
      <c r="Z14" s="167"/>
      <c r="AA14" s="167"/>
      <c r="AB14" s="168"/>
      <c r="AC14" s="167"/>
      <c r="AD14" s="167"/>
      <c r="AE14" s="168">
        <v>152</v>
      </c>
      <c r="AF14" s="167"/>
      <c r="AG14" s="167"/>
      <c r="AH14" s="168">
        <v>96</v>
      </c>
      <c r="AI14" s="167">
        <v>24</v>
      </c>
      <c r="AJ14" s="167"/>
      <c r="AK14" s="168">
        <v>7</v>
      </c>
      <c r="AL14" s="167">
        <f>96.5-AM14</f>
        <v>78</v>
      </c>
      <c r="AM14" s="167">
        <v>18.5</v>
      </c>
      <c r="AN14" s="168">
        <v>80</v>
      </c>
      <c r="AO14" s="167"/>
      <c r="AP14" s="167"/>
      <c r="AQ14" s="171">
        <f t="shared" si="1"/>
        <v>48800.34375</v>
      </c>
      <c r="AR14" s="165">
        <f t="shared" si="0"/>
        <v>61.1875</v>
      </c>
    </row>
    <row r="15" spans="1:44" ht="14.45">
      <c r="A15">
        <v>9</v>
      </c>
      <c r="B15" s="213" t="s">
        <v>159</v>
      </c>
      <c r="C15" s="207"/>
      <c r="D15" s="212" t="s">
        <v>141</v>
      </c>
      <c r="E15" s="165">
        <f>VLOOKUP(D:D,Positions2024!A:B,2,0)</f>
        <v>34.625</v>
      </c>
      <c r="F15" s="166">
        <f>'Current Effort - Consultation'!$E15*1.5</f>
        <v>51.9375</v>
      </c>
      <c r="G15" s="169"/>
      <c r="H15" s="169"/>
      <c r="I15" s="169"/>
      <c r="J15" s="170">
        <v>3</v>
      </c>
      <c r="K15" s="169"/>
      <c r="L15" s="169"/>
      <c r="M15" s="170">
        <v>122</v>
      </c>
      <c r="N15" s="169"/>
      <c r="O15" s="169"/>
      <c r="P15" s="170">
        <v>5</v>
      </c>
      <c r="Q15" s="169"/>
      <c r="R15" s="169"/>
      <c r="S15" s="170"/>
      <c r="T15" s="169"/>
      <c r="U15" s="169"/>
      <c r="V15" s="170"/>
      <c r="W15" s="169"/>
      <c r="X15" s="169"/>
      <c r="Y15" s="170"/>
      <c r="Z15" s="169"/>
      <c r="AA15" s="169"/>
      <c r="AB15" s="170"/>
      <c r="AC15" s="169"/>
      <c r="AD15" s="169"/>
      <c r="AE15" s="170"/>
      <c r="AF15" s="169"/>
      <c r="AG15" s="169"/>
      <c r="AH15" s="170"/>
      <c r="AI15" s="169"/>
      <c r="AJ15" s="169"/>
      <c r="AK15" s="170"/>
      <c r="AL15" s="169"/>
      <c r="AM15" s="169"/>
      <c r="AN15" s="170"/>
      <c r="AO15" s="169"/>
      <c r="AP15" s="169"/>
      <c r="AQ15" s="171">
        <f t="shared" si="1"/>
        <v>4501.25</v>
      </c>
      <c r="AR15" s="165">
        <f t="shared" si="0"/>
        <v>16.25</v>
      </c>
    </row>
    <row r="16" spans="1:44" ht="14.45">
      <c r="A16">
        <v>10</v>
      </c>
      <c r="B16" s="131" t="s">
        <v>160</v>
      </c>
      <c r="C16" s="131"/>
      <c r="D16" s="211" t="s">
        <v>138</v>
      </c>
      <c r="E16" s="165">
        <f>VLOOKUP(D:D,Positions2024!A:B,2,0)</f>
        <v>112.25</v>
      </c>
      <c r="F16" s="166">
        <f>'Current Effort - Consultation'!$E16*1.5</f>
        <v>168.375</v>
      </c>
      <c r="G16" s="167"/>
      <c r="H16" s="167"/>
      <c r="I16" s="167"/>
      <c r="J16" s="168"/>
      <c r="K16" s="167"/>
      <c r="L16" s="167"/>
      <c r="M16" s="168">
        <v>72</v>
      </c>
      <c r="N16" s="167"/>
      <c r="O16" s="167"/>
      <c r="P16" s="168">
        <v>168</v>
      </c>
      <c r="Q16" s="167"/>
      <c r="R16" s="167"/>
      <c r="S16" s="168">
        <v>170</v>
      </c>
      <c r="T16" s="167"/>
      <c r="U16" s="167"/>
      <c r="V16" s="168">
        <v>168</v>
      </c>
      <c r="W16" s="167"/>
      <c r="X16" s="167"/>
      <c r="Y16" s="168">
        <f>144+16</f>
        <v>160</v>
      </c>
      <c r="Z16" s="167"/>
      <c r="AA16" s="167"/>
      <c r="AB16" s="168">
        <f>168+16</f>
        <v>184</v>
      </c>
      <c r="AC16" s="167"/>
      <c r="AD16" s="167"/>
      <c r="AE16" s="168">
        <v>152</v>
      </c>
      <c r="AF16" s="167"/>
      <c r="AG16" s="167"/>
      <c r="AH16" s="168">
        <v>88</v>
      </c>
      <c r="AI16" s="167">
        <v>36</v>
      </c>
      <c r="AJ16" s="167"/>
      <c r="AK16" s="168">
        <v>40</v>
      </c>
      <c r="AL16" s="167">
        <v>84</v>
      </c>
      <c r="AM16" s="167"/>
      <c r="AN16" s="168">
        <v>152</v>
      </c>
      <c r="AO16" s="167"/>
      <c r="AP16" s="167"/>
      <c r="AQ16" s="171">
        <f t="shared" si="1"/>
        <v>182518.5</v>
      </c>
      <c r="AR16" s="165">
        <f t="shared" si="0"/>
        <v>189.25</v>
      </c>
    </row>
    <row r="17" spans="1:44" ht="14.45">
      <c r="A17">
        <v>11</v>
      </c>
      <c r="B17" s="213" t="s">
        <v>161</v>
      </c>
      <c r="C17" s="207"/>
      <c r="D17" s="212" t="s">
        <v>142</v>
      </c>
      <c r="E17" s="165">
        <f>VLOOKUP(D:D,Positions2024!A:B,2,0)</f>
        <v>58.298749999999998</v>
      </c>
      <c r="F17" s="166">
        <f>'Current Effort - Consultation'!$E17*1.5</f>
        <v>87.448125000000005</v>
      </c>
      <c r="G17" s="169"/>
      <c r="H17" s="169"/>
      <c r="I17" s="169"/>
      <c r="J17" s="170"/>
      <c r="K17" s="169"/>
      <c r="L17" s="169"/>
      <c r="M17" s="170"/>
      <c r="N17" s="169"/>
      <c r="O17" s="169"/>
      <c r="P17" s="170"/>
      <c r="Q17" s="169"/>
      <c r="R17" s="169"/>
      <c r="S17" s="170"/>
      <c r="T17" s="169"/>
      <c r="U17" s="169"/>
      <c r="V17" s="170"/>
      <c r="W17" s="169"/>
      <c r="X17" s="169"/>
      <c r="Y17" s="170">
        <f>188+16</f>
        <v>204</v>
      </c>
      <c r="Z17" s="169"/>
      <c r="AA17" s="169"/>
      <c r="AB17" s="170">
        <v>197</v>
      </c>
      <c r="AC17" s="169"/>
      <c r="AD17" s="169"/>
      <c r="AE17" s="170">
        <f>146-AG17</f>
        <v>138</v>
      </c>
      <c r="AF17" s="169"/>
      <c r="AG17" s="169">
        <v>8</v>
      </c>
      <c r="AH17" s="170">
        <v>97.5</v>
      </c>
      <c r="AI17" s="169">
        <v>24</v>
      </c>
      <c r="AJ17" s="169"/>
      <c r="AK17" s="170">
        <v>16</v>
      </c>
      <c r="AL17" s="169">
        <v>77</v>
      </c>
      <c r="AM17" s="169"/>
      <c r="AN17" s="170">
        <v>91</v>
      </c>
      <c r="AO17" s="169"/>
      <c r="AP17" s="169"/>
      <c r="AQ17" s="171">
        <f t="shared" si="1"/>
        <v>57978.106874999998</v>
      </c>
      <c r="AR17" s="165">
        <f t="shared" si="0"/>
        <v>110.77083333333333</v>
      </c>
    </row>
    <row r="18" spans="1:44" ht="14.45">
      <c r="B18" s="131" t="s">
        <v>161</v>
      </c>
      <c r="C18" s="131"/>
      <c r="D18" s="211" t="s">
        <v>141</v>
      </c>
      <c r="E18" s="165">
        <f>VLOOKUP(D:D,Positions2024!A:B,2,0)</f>
        <v>34.625</v>
      </c>
      <c r="F18" s="166">
        <f>'Current Effort - Consultation'!$E18*1.5</f>
        <v>51.9375</v>
      </c>
      <c r="G18" s="167"/>
      <c r="H18" s="167"/>
      <c r="I18" s="167"/>
      <c r="J18" s="168"/>
      <c r="K18" s="167"/>
      <c r="L18" s="167"/>
      <c r="M18" s="168"/>
      <c r="N18" s="167"/>
      <c r="O18" s="167"/>
      <c r="P18" s="168"/>
      <c r="Q18" s="167"/>
      <c r="R18" s="167"/>
      <c r="S18" s="168"/>
      <c r="T18" s="167"/>
      <c r="U18" s="167"/>
      <c r="V18" s="168"/>
      <c r="W18" s="167"/>
      <c r="X18" s="167"/>
      <c r="Y18" s="168"/>
      <c r="Z18" s="167"/>
      <c r="AA18" s="167"/>
      <c r="AB18" s="168"/>
      <c r="AC18" s="167"/>
      <c r="AD18" s="167"/>
      <c r="AE18" s="168"/>
      <c r="AF18" s="167"/>
      <c r="AG18" s="167"/>
      <c r="AH18" s="168"/>
      <c r="AI18" s="167"/>
      <c r="AJ18" s="167"/>
      <c r="AK18" s="168"/>
      <c r="AL18" s="167"/>
      <c r="AM18" s="167"/>
      <c r="AN18" s="168">
        <f>171.5-91</f>
        <v>80.5</v>
      </c>
      <c r="AO18" s="167"/>
      <c r="AP18" s="167"/>
      <c r="AQ18" s="171">
        <f t="shared" si="1"/>
        <v>2787.3125</v>
      </c>
      <c r="AR18" s="165">
        <f t="shared" si="0"/>
        <v>10.0625</v>
      </c>
    </row>
    <row r="19" spans="1:44" ht="14.45">
      <c r="A19">
        <v>12</v>
      </c>
      <c r="B19" s="213" t="s">
        <v>162</v>
      </c>
      <c r="C19" s="207"/>
      <c r="D19" s="212" t="s">
        <v>128</v>
      </c>
      <c r="E19" s="165">
        <f>VLOOKUP(D:D,Positions2024!A:B,2,0)</f>
        <v>31.625</v>
      </c>
      <c r="F19" s="166">
        <f>'Current Effort - Consultation'!$E19*1.5</f>
        <v>47.4375</v>
      </c>
      <c r="G19" s="169"/>
      <c r="H19" s="169"/>
      <c r="I19" s="169"/>
      <c r="J19" s="170"/>
      <c r="K19" s="169"/>
      <c r="L19" s="169"/>
      <c r="M19" s="170"/>
      <c r="N19" s="169"/>
      <c r="O19" s="169"/>
      <c r="P19" s="170"/>
      <c r="Q19" s="169"/>
      <c r="R19" s="169"/>
      <c r="S19" s="170">
        <v>40</v>
      </c>
      <c r="T19" s="169"/>
      <c r="U19" s="169"/>
      <c r="V19" s="170">
        <v>18</v>
      </c>
      <c r="W19" s="169"/>
      <c r="X19" s="169"/>
      <c r="Y19" s="170">
        <v>75</v>
      </c>
      <c r="Z19" s="169"/>
      <c r="AA19" s="169"/>
      <c r="AB19" s="170">
        <v>176</v>
      </c>
      <c r="AC19" s="169"/>
      <c r="AD19" s="169"/>
      <c r="AE19" s="170">
        <v>48</v>
      </c>
      <c r="AF19" s="169"/>
      <c r="AG19" s="169"/>
      <c r="AH19" s="170">
        <v>30</v>
      </c>
      <c r="AI19" s="169"/>
      <c r="AJ19" s="169"/>
      <c r="AK19" s="170"/>
      <c r="AL19" s="169">
        <v>30</v>
      </c>
      <c r="AM19" s="169"/>
      <c r="AN19" s="170"/>
      <c r="AO19" s="169"/>
      <c r="AP19" s="169"/>
      <c r="AQ19" s="171">
        <f t="shared" si="1"/>
        <v>14705.625</v>
      </c>
      <c r="AR19" s="165">
        <f t="shared" si="0"/>
        <v>53.375</v>
      </c>
    </row>
    <row r="20" spans="1:44" ht="14.45">
      <c r="A20">
        <v>13</v>
      </c>
      <c r="B20" s="131" t="s">
        <v>163</v>
      </c>
      <c r="C20" s="131"/>
      <c r="D20" s="211" t="s">
        <v>132</v>
      </c>
      <c r="E20" s="165">
        <f>VLOOKUP(D:D,Positions2024!A:B,2,0)</f>
        <v>37.625</v>
      </c>
      <c r="F20" s="166">
        <f>'Current Effort - Consultation'!$E20*1.5</f>
        <v>56.4375</v>
      </c>
      <c r="G20" s="167"/>
      <c r="H20" s="167"/>
      <c r="I20" s="167"/>
      <c r="J20" s="168"/>
      <c r="K20" s="167"/>
      <c r="L20" s="167"/>
      <c r="M20" s="168"/>
      <c r="N20" s="167"/>
      <c r="O20" s="167"/>
      <c r="P20" s="168"/>
      <c r="Q20" s="167"/>
      <c r="R20" s="167"/>
      <c r="S20" s="168"/>
      <c r="T20" s="167"/>
      <c r="U20" s="167"/>
      <c r="V20" s="168"/>
      <c r="W20" s="167"/>
      <c r="X20" s="167"/>
      <c r="Y20" s="168"/>
      <c r="Z20" s="167"/>
      <c r="AA20" s="167"/>
      <c r="AB20" s="168"/>
      <c r="AC20" s="167"/>
      <c r="AD20" s="167"/>
      <c r="AE20" s="168"/>
      <c r="AF20" s="167"/>
      <c r="AG20" s="167"/>
      <c r="AH20" s="168"/>
      <c r="AI20" s="167"/>
      <c r="AJ20" s="167"/>
      <c r="AK20" s="168"/>
      <c r="AL20" s="167">
        <v>6</v>
      </c>
      <c r="AM20" s="167"/>
      <c r="AN20" s="168">
        <v>4</v>
      </c>
      <c r="AO20" s="167"/>
      <c r="AP20" s="167"/>
      <c r="AQ20" s="171">
        <f t="shared" si="1"/>
        <v>376.25</v>
      </c>
      <c r="AR20" s="165">
        <f t="shared" si="0"/>
        <v>1.5</v>
      </c>
    </row>
    <row r="21" spans="1:44" ht="14.45">
      <c r="A21">
        <v>14</v>
      </c>
      <c r="B21" s="213" t="s">
        <v>164</v>
      </c>
      <c r="C21" s="207"/>
      <c r="D21" s="212" t="s">
        <v>126</v>
      </c>
      <c r="E21" s="165">
        <f>VLOOKUP(D:D,Positions2024!A:B,2,0)</f>
        <v>112.25</v>
      </c>
      <c r="F21" s="166">
        <f>'Current Effort - Consultation'!$E21*1.5</f>
        <v>168.375</v>
      </c>
      <c r="G21" s="169"/>
      <c r="H21" s="169"/>
      <c r="I21" s="169"/>
      <c r="J21" s="170"/>
      <c r="K21" s="169"/>
      <c r="L21" s="169"/>
      <c r="M21" s="170">
        <v>110</v>
      </c>
      <c r="N21" s="169"/>
      <c r="O21" s="169"/>
      <c r="P21" s="170">
        <v>44</v>
      </c>
      <c r="Q21" s="169"/>
      <c r="R21" s="169"/>
      <c r="S21" s="170"/>
      <c r="T21" s="169"/>
      <c r="U21" s="169"/>
      <c r="V21" s="170"/>
      <c r="W21" s="169"/>
      <c r="X21" s="169"/>
      <c r="Y21" s="170"/>
      <c r="Z21" s="169"/>
      <c r="AA21" s="169"/>
      <c r="AB21" s="170"/>
      <c r="AC21" s="169"/>
      <c r="AD21" s="169"/>
      <c r="AE21" s="170"/>
      <c r="AF21" s="169"/>
      <c r="AG21" s="169"/>
      <c r="AH21" s="170"/>
      <c r="AI21" s="169"/>
      <c r="AJ21" s="169"/>
      <c r="AK21" s="170"/>
      <c r="AL21" s="169"/>
      <c r="AM21" s="169"/>
      <c r="AN21" s="170"/>
      <c r="AO21" s="169"/>
      <c r="AP21" s="169"/>
      <c r="AQ21" s="171">
        <f t="shared" si="1"/>
        <v>17286.5</v>
      </c>
      <c r="AR21" s="165">
        <f t="shared" si="0"/>
        <v>19.25</v>
      </c>
    </row>
    <row r="22" spans="1:44" ht="14.45">
      <c r="A22">
        <v>15</v>
      </c>
      <c r="B22" s="131" t="s">
        <v>165</v>
      </c>
      <c r="C22" s="131"/>
      <c r="D22" s="211" t="s">
        <v>166</v>
      </c>
      <c r="E22" s="165">
        <f>VLOOKUP(D:D,Positions2024!A:B,2,0)</f>
        <v>34.625</v>
      </c>
      <c r="F22" s="166">
        <f>'Current Effort - Consultation'!$E22*1.5</f>
        <v>51.9375</v>
      </c>
      <c r="G22" s="167"/>
      <c r="H22" s="167"/>
      <c r="I22" s="167"/>
      <c r="J22" s="168"/>
      <c r="K22" s="167"/>
      <c r="L22" s="167"/>
      <c r="M22" s="168"/>
      <c r="N22" s="167"/>
      <c r="O22" s="167"/>
      <c r="P22" s="168"/>
      <c r="Q22" s="167"/>
      <c r="R22" s="167"/>
      <c r="S22" s="168">
        <v>24</v>
      </c>
      <c r="T22" s="167"/>
      <c r="U22" s="167"/>
      <c r="V22" s="168">
        <v>32</v>
      </c>
      <c r="W22" s="167"/>
      <c r="X22" s="167"/>
      <c r="Y22" s="168">
        <v>18</v>
      </c>
      <c r="Z22" s="167"/>
      <c r="AA22" s="167"/>
      <c r="AB22" s="168"/>
      <c r="AC22" s="167"/>
      <c r="AD22" s="167"/>
      <c r="AE22" s="168"/>
      <c r="AF22" s="167"/>
      <c r="AG22" s="167"/>
      <c r="AH22" s="168"/>
      <c r="AI22" s="167"/>
      <c r="AJ22" s="167"/>
      <c r="AK22" s="168"/>
      <c r="AL22" s="167"/>
      <c r="AM22" s="167"/>
      <c r="AN22" s="168"/>
      <c r="AO22" s="167"/>
      <c r="AP22" s="167"/>
      <c r="AQ22" s="171">
        <f t="shared" si="1"/>
        <v>2562.25</v>
      </c>
      <c r="AR22" s="165">
        <f t="shared" si="0"/>
        <v>9.25</v>
      </c>
    </row>
    <row r="23" spans="1:44" ht="14.45">
      <c r="A23">
        <v>16</v>
      </c>
      <c r="B23" s="213" t="s">
        <v>167</v>
      </c>
      <c r="C23" s="207"/>
      <c r="D23" s="212" t="s">
        <v>138</v>
      </c>
      <c r="E23" s="165">
        <f>VLOOKUP(D:D,Positions2024!A:B,2,0)</f>
        <v>112.25</v>
      </c>
      <c r="F23" s="166">
        <f>'Current Effort - Consultation'!$E23*1.5</f>
        <v>168.375</v>
      </c>
      <c r="G23" s="169"/>
      <c r="H23" s="169"/>
      <c r="I23" s="169">
        <v>31</v>
      </c>
      <c r="J23" s="170"/>
      <c r="K23" s="169"/>
      <c r="L23" s="169">
        <v>13</v>
      </c>
      <c r="M23" s="170"/>
      <c r="N23" s="169"/>
      <c r="O23" s="169">
        <v>8.5</v>
      </c>
      <c r="P23" s="170"/>
      <c r="Q23" s="169"/>
      <c r="R23" s="169">
        <v>21.5</v>
      </c>
      <c r="S23" s="170"/>
      <c r="T23" s="169"/>
      <c r="U23" s="169"/>
      <c r="V23" s="170"/>
      <c r="W23" s="169"/>
      <c r="X23" s="169"/>
      <c r="Y23" s="170"/>
      <c r="Z23" s="169"/>
      <c r="AA23" s="169">
        <v>24</v>
      </c>
      <c r="AB23" s="170"/>
      <c r="AC23" s="169"/>
      <c r="AD23" s="169"/>
      <c r="AE23" s="170"/>
      <c r="AF23" s="169"/>
      <c r="AG23" s="169"/>
      <c r="AH23" s="170"/>
      <c r="AI23" s="169"/>
      <c r="AJ23" s="169"/>
      <c r="AK23" s="170"/>
      <c r="AL23" s="169"/>
      <c r="AM23" s="169"/>
      <c r="AN23" s="170"/>
      <c r="AO23" s="169"/>
      <c r="AP23" s="169"/>
      <c r="AQ23" s="171">
        <f t="shared" si="1"/>
        <v>16500.75</v>
      </c>
      <c r="AR23" s="165">
        <f t="shared" si="0"/>
        <v>12.25</v>
      </c>
    </row>
    <row r="24" spans="1:44" ht="14.45">
      <c r="A24">
        <v>17</v>
      </c>
      <c r="B24" s="131" t="s">
        <v>168</v>
      </c>
      <c r="C24" s="131"/>
      <c r="D24" s="211" t="s">
        <v>146</v>
      </c>
      <c r="E24" s="165">
        <f>VLOOKUP(D:D,Positions2024!A:B,2,0)</f>
        <v>51.631250000000001</v>
      </c>
      <c r="F24" s="166">
        <f>'Current Effort - Consultation'!$E24*1.5</f>
        <v>77.446875000000006</v>
      </c>
      <c r="G24" s="167"/>
      <c r="H24" s="167"/>
      <c r="I24" s="167"/>
      <c r="J24" s="168"/>
      <c r="K24" s="167"/>
      <c r="L24" s="167"/>
      <c r="M24" s="168"/>
      <c r="N24" s="167"/>
      <c r="O24" s="167"/>
      <c r="P24" s="168"/>
      <c r="Q24" s="167"/>
      <c r="R24" s="167"/>
      <c r="S24" s="168">
        <v>138</v>
      </c>
      <c r="T24" s="167"/>
      <c r="U24" s="167"/>
      <c r="V24" s="168">
        <f>176-X24</f>
        <v>168</v>
      </c>
      <c r="W24" s="167"/>
      <c r="X24" s="167">
        <v>8</v>
      </c>
      <c r="Y24" s="168">
        <f>152+8</f>
        <v>160</v>
      </c>
      <c r="Z24" s="167"/>
      <c r="AA24" s="167"/>
      <c r="AB24" s="168">
        <v>96</v>
      </c>
      <c r="AC24" s="167"/>
      <c r="AD24" s="167"/>
      <c r="AE24" s="168">
        <f>160-AG24</f>
        <v>152</v>
      </c>
      <c r="AF24" s="167"/>
      <c r="AG24" s="167">
        <v>8</v>
      </c>
      <c r="AH24" s="168">
        <v>95</v>
      </c>
      <c r="AI24" s="167">
        <v>36</v>
      </c>
      <c r="AJ24" s="167"/>
      <c r="AK24" s="168">
        <v>36</v>
      </c>
      <c r="AL24" s="167">
        <v>84</v>
      </c>
      <c r="AM24" s="167"/>
      <c r="AN24" s="168">
        <v>56</v>
      </c>
      <c r="AO24" s="167"/>
      <c r="AP24" s="167"/>
      <c r="AQ24" s="171">
        <f t="shared" si="1"/>
        <v>61802.606250000004</v>
      </c>
      <c r="AR24" s="165">
        <f t="shared" si="0"/>
        <v>134.625</v>
      </c>
    </row>
    <row r="25" spans="1:44" ht="14.45">
      <c r="B25" s="213" t="s">
        <v>168</v>
      </c>
      <c r="C25" s="207"/>
      <c r="D25" s="212" t="s">
        <v>136</v>
      </c>
      <c r="E25" s="165">
        <f>VLOOKUP(D:D,Positions2024!A:B,2,0)</f>
        <v>29.375</v>
      </c>
      <c r="F25" s="166">
        <f>'Current Effort - Consultation'!$E25*1.5</f>
        <v>44.0625</v>
      </c>
      <c r="G25" s="169"/>
      <c r="H25" s="169"/>
      <c r="I25" s="169"/>
      <c r="J25" s="170"/>
      <c r="K25" s="169"/>
      <c r="L25" s="169"/>
      <c r="M25" s="170"/>
      <c r="N25" s="169"/>
      <c r="O25" s="169"/>
      <c r="P25" s="170"/>
      <c r="Q25" s="169"/>
      <c r="R25" s="169"/>
      <c r="S25" s="170"/>
      <c r="T25" s="169"/>
      <c r="U25" s="169"/>
      <c r="V25" s="170"/>
      <c r="W25" s="169"/>
      <c r="X25" s="169"/>
      <c r="Y25" s="170"/>
      <c r="Z25" s="169"/>
      <c r="AA25" s="169"/>
      <c r="AB25" s="170"/>
      <c r="AC25" s="169"/>
      <c r="AD25" s="169"/>
      <c r="AE25" s="170"/>
      <c r="AF25" s="169"/>
      <c r="AG25" s="169"/>
      <c r="AH25" s="170"/>
      <c r="AI25" s="169"/>
      <c r="AJ25" s="169"/>
      <c r="AK25" s="170"/>
      <c r="AL25" s="169"/>
      <c r="AM25" s="169"/>
      <c r="AN25" s="170">
        <f>161-AN24</f>
        <v>105</v>
      </c>
      <c r="AO25" s="169"/>
      <c r="AP25" s="169"/>
      <c r="AQ25" s="171">
        <f t="shared" si="1"/>
        <v>3084.375</v>
      </c>
      <c r="AR25" s="165">
        <f t="shared" si="0"/>
        <v>13.125</v>
      </c>
    </row>
    <row r="26" spans="1:44" ht="14.45">
      <c r="A26">
        <v>18</v>
      </c>
      <c r="B26" s="131" t="s">
        <v>169</v>
      </c>
      <c r="C26" s="131"/>
      <c r="D26" s="211" t="s">
        <v>138</v>
      </c>
      <c r="E26" s="165">
        <f>VLOOKUP(D:D,Positions2024!A:B,2,0)</f>
        <v>112.25</v>
      </c>
      <c r="F26" s="166">
        <f>'Current Effort - Consultation'!$E26*1.5</f>
        <v>168.375</v>
      </c>
      <c r="G26" s="167"/>
      <c r="H26" s="167"/>
      <c r="I26" s="167"/>
      <c r="J26" s="168"/>
      <c r="K26" s="167"/>
      <c r="L26" s="167"/>
      <c r="M26" s="168">
        <v>58</v>
      </c>
      <c r="N26" s="167"/>
      <c r="O26" s="167"/>
      <c r="P26" s="168">
        <v>149</v>
      </c>
      <c r="Q26" s="167"/>
      <c r="R26" s="167"/>
      <c r="S26" s="168">
        <v>144</v>
      </c>
      <c r="T26" s="167"/>
      <c r="U26" s="167"/>
      <c r="V26" s="168">
        <v>116</v>
      </c>
      <c r="W26" s="167"/>
      <c r="X26" s="167"/>
      <c r="Y26" s="168">
        <v>101</v>
      </c>
      <c r="Z26" s="167"/>
      <c r="AA26" s="167"/>
      <c r="AB26" s="168">
        <v>121</v>
      </c>
      <c r="AC26" s="167"/>
      <c r="AD26" s="167"/>
      <c r="AE26" s="168">
        <v>104</v>
      </c>
      <c r="AF26" s="167"/>
      <c r="AG26" s="167"/>
      <c r="AH26" s="168">
        <v>32</v>
      </c>
      <c r="AI26" s="167"/>
      <c r="AJ26" s="167"/>
      <c r="AK26" s="168"/>
      <c r="AL26" s="167">
        <v>18</v>
      </c>
      <c r="AM26" s="167"/>
      <c r="AN26" s="168"/>
      <c r="AO26" s="167"/>
      <c r="AP26" s="167"/>
      <c r="AQ26" s="171">
        <f t="shared" si="1"/>
        <v>106300.75</v>
      </c>
      <c r="AR26" s="165">
        <f t="shared" si="0"/>
        <v>106.125</v>
      </c>
    </row>
    <row r="27" spans="1:44" ht="14.45">
      <c r="A27">
        <v>19</v>
      </c>
      <c r="B27" s="213" t="s">
        <v>170</v>
      </c>
      <c r="C27" s="207"/>
      <c r="D27" s="212" t="s">
        <v>171</v>
      </c>
      <c r="E27" s="165">
        <f>VLOOKUP(D:D,Positions2024!A:B,2,0)</f>
        <v>51.631250000000001</v>
      </c>
      <c r="F27" s="166">
        <f>'Current Effort - Consultation'!$E27*1.5</f>
        <v>77.446875000000006</v>
      </c>
      <c r="G27" s="169"/>
      <c r="H27" s="169"/>
      <c r="I27" s="169"/>
      <c r="J27" s="170"/>
      <c r="K27" s="169"/>
      <c r="L27" s="169"/>
      <c r="M27" s="170"/>
      <c r="N27" s="169"/>
      <c r="O27" s="169"/>
      <c r="P27" s="170"/>
      <c r="Q27" s="169"/>
      <c r="R27" s="169"/>
      <c r="S27" s="170"/>
      <c r="T27" s="169"/>
      <c r="U27" s="169"/>
      <c r="V27" s="170"/>
      <c r="W27" s="169"/>
      <c r="X27" s="169"/>
      <c r="Y27" s="170"/>
      <c r="Z27" s="169"/>
      <c r="AA27" s="169"/>
      <c r="AB27" s="170"/>
      <c r="AC27" s="169"/>
      <c r="AD27" s="169"/>
      <c r="AE27" s="170"/>
      <c r="AF27" s="169"/>
      <c r="AG27" s="169"/>
      <c r="AH27" s="170"/>
      <c r="AI27" s="169"/>
      <c r="AJ27" s="169"/>
      <c r="AK27" s="170">
        <v>1</v>
      </c>
      <c r="AL27" s="169">
        <v>1</v>
      </c>
      <c r="AM27" s="169"/>
      <c r="AN27" s="170">
        <v>1</v>
      </c>
      <c r="AO27" s="169"/>
      <c r="AP27" s="169"/>
      <c r="AQ27" s="171">
        <f t="shared" si="1"/>
        <v>154.89375000000001</v>
      </c>
      <c r="AR27" s="165">
        <f t="shared" si="0"/>
        <v>0.41666666666666663</v>
      </c>
    </row>
    <row r="28" spans="1:44" ht="14.45">
      <c r="A28">
        <v>20</v>
      </c>
      <c r="B28" s="131" t="s">
        <v>172</v>
      </c>
      <c r="C28" s="131"/>
      <c r="D28" s="211" t="s">
        <v>154</v>
      </c>
      <c r="E28" s="165">
        <f>VLOOKUP(D:D,Positions2024!A:B,2,0)</f>
        <v>45.215000000000003</v>
      </c>
      <c r="F28" s="166">
        <f>'Current Effort - Consultation'!$E28*1.5</f>
        <v>67.822500000000005</v>
      </c>
      <c r="G28" s="167"/>
      <c r="H28" s="167"/>
      <c r="I28" s="167"/>
      <c r="J28" s="168"/>
      <c r="K28" s="167"/>
      <c r="L28" s="167"/>
      <c r="M28" s="168"/>
      <c r="N28" s="167"/>
      <c r="O28" s="167"/>
      <c r="P28" s="168">
        <v>6</v>
      </c>
      <c r="Q28" s="167"/>
      <c r="R28" s="167"/>
      <c r="S28" s="168">
        <v>180</v>
      </c>
      <c r="T28" s="167"/>
      <c r="U28" s="167"/>
      <c r="V28" s="168">
        <f>179-X28</f>
        <v>168</v>
      </c>
      <c r="W28" s="167"/>
      <c r="X28" s="167">
        <v>11</v>
      </c>
      <c r="Y28" s="168">
        <f>156+8</f>
        <v>164</v>
      </c>
      <c r="Z28" s="167"/>
      <c r="AA28" s="167"/>
      <c r="AB28" s="168">
        <f>96+8</f>
        <v>104</v>
      </c>
      <c r="AC28" s="167"/>
      <c r="AD28" s="167"/>
      <c r="AE28" s="168">
        <f>168-AG28</f>
        <v>160</v>
      </c>
      <c r="AF28" s="167"/>
      <c r="AG28" s="167">
        <v>8</v>
      </c>
      <c r="AH28" s="168">
        <v>104</v>
      </c>
      <c r="AI28" s="167">
        <v>36</v>
      </c>
      <c r="AJ28" s="167"/>
      <c r="AK28" s="168">
        <v>24</v>
      </c>
      <c r="AL28" s="167">
        <v>84</v>
      </c>
      <c r="AM28" s="167"/>
      <c r="AN28" s="168"/>
      <c r="AO28" s="167"/>
      <c r="AP28" s="167"/>
      <c r="AQ28" s="171">
        <f t="shared" si="1"/>
        <v>55094.477500000008</v>
      </c>
      <c r="AR28" s="165">
        <f t="shared" si="0"/>
        <v>136.125</v>
      </c>
    </row>
    <row r="29" spans="1:44" ht="14.45">
      <c r="A29">
        <v>21</v>
      </c>
      <c r="B29" s="213" t="s">
        <v>172</v>
      </c>
      <c r="C29" s="207"/>
      <c r="D29" s="212" t="s">
        <v>173</v>
      </c>
      <c r="E29" s="165">
        <f>VLOOKUP(D:D,Positions2024!A:B,2,0)</f>
        <v>27.875</v>
      </c>
      <c r="F29" s="166">
        <f>'Current Effort - Consultation'!$E29*1.5</f>
        <v>41.8125</v>
      </c>
      <c r="G29" s="169"/>
      <c r="H29" s="169"/>
      <c r="I29" s="169"/>
      <c r="J29" s="170"/>
      <c r="K29" s="169"/>
      <c r="L29" s="169"/>
      <c r="M29" s="170"/>
      <c r="N29" s="169"/>
      <c r="O29" s="169"/>
      <c r="P29" s="170"/>
      <c r="Q29" s="169"/>
      <c r="R29" s="169"/>
      <c r="S29" s="170"/>
      <c r="T29" s="169"/>
      <c r="U29" s="169"/>
      <c r="V29" s="170"/>
      <c r="W29" s="169"/>
      <c r="X29" s="169"/>
      <c r="Y29" s="170"/>
      <c r="Z29" s="169"/>
      <c r="AA29" s="169"/>
      <c r="AB29" s="170"/>
      <c r="AC29" s="169"/>
      <c r="AD29" s="169"/>
      <c r="AE29" s="170"/>
      <c r="AF29" s="169"/>
      <c r="AG29" s="169"/>
      <c r="AH29" s="170"/>
      <c r="AI29" s="169"/>
      <c r="AJ29" s="169"/>
      <c r="AK29" s="170"/>
      <c r="AL29" s="169"/>
      <c r="AM29" s="169"/>
      <c r="AN29" s="170">
        <v>158</v>
      </c>
      <c r="AO29" s="169"/>
      <c r="AP29" s="169"/>
      <c r="AQ29" s="171">
        <f t="shared" si="1"/>
        <v>4404.25</v>
      </c>
      <c r="AR29" s="165">
        <f t="shared" si="0"/>
        <v>19.75</v>
      </c>
    </row>
    <row r="30" spans="1:44" ht="14.45">
      <c r="A30">
        <v>22</v>
      </c>
      <c r="B30" s="131" t="s">
        <v>174</v>
      </c>
      <c r="C30" s="131"/>
      <c r="D30" s="211" t="s">
        <v>157</v>
      </c>
      <c r="E30" s="165">
        <f>VLOOKUP(D:D,Positions2024!A:B,2,0)</f>
        <v>56.25</v>
      </c>
      <c r="F30" s="166">
        <f>'Current Effort - Consultation'!$E30*1.5</f>
        <v>84.375</v>
      </c>
      <c r="G30" s="167"/>
      <c r="H30" s="167"/>
      <c r="I30" s="167"/>
      <c r="J30" s="168">
        <v>88</v>
      </c>
      <c r="K30" s="167"/>
      <c r="L30" s="167"/>
      <c r="M30" s="168">
        <v>176</v>
      </c>
      <c r="N30" s="167"/>
      <c r="O30" s="167"/>
      <c r="P30" s="168">
        <v>120</v>
      </c>
      <c r="Q30" s="167"/>
      <c r="R30" s="167"/>
      <c r="S30" s="168"/>
      <c r="T30" s="167"/>
      <c r="U30" s="167"/>
      <c r="V30" s="168"/>
      <c r="W30" s="167"/>
      <c r="X30" s="167"/>
      <c r="Y30" s="168"/>
      <c r="Z30" s="167"/>
      <c r="AA30" s="167"/>
      <c r="AB30" s="168"/>
      <c r="AC30" s="167"/>
      <c r="AD30" s="167"/>
      <c r="AE30" s="168"/>
      <c r="AF30" s="167"/>
      <c r="AG30" s="167"/>
      <c r="AH30" s="168"/>
      <c r="AI30" s="167"/>
      <c r="AJ30" s="167"/>
      <c r="AK30" s="168"/>
      <c r="AL30" s="167"/>
      <c r="AM30" s="167"/>
      <c r="AN30" s="168"/>
      <c r="AO30" s="167"/>
      <c r="AP30" s="167"/>
      <c r="AQ30" s="171">
        <f t="shared" si="1"/>
        <v>21600</v>
      </c>
      <c r="AR30" s="165">
        <f t="shared" si="0"/>
        <v>48</v>
      </c>
    </row>
    <row r="31" spans="1:44" ht="18">
      <c r="D31" s="4"/>
      <c r="E31" s="28"/>
      <c r="F31" s="28"/>
      <c r="G31" s="176"/>
      <c r="H31" s="177"/>
      <c r="I31" s="178">
        <f>(SUM(G6:G30)+SUM(I6:I30))/8+SUM(H6:H30)/6</f>
        <v>3.875</v>
      </c>
      <c r="J31" s="179"/>
      <c r="K31" s="180"/>
      <c r="L31" s="178">
        <f>(SUM(J6:J30)+SUM(L6:L30))/8+SUM(K6:K30)/6</f>
        <v>44.5625</v>
      </c>
      <c r="M31" s="180"/>
      <c r="N31" s="180"/>
      <c r="O31" s="178">
        <f>(SUM(M6:M30)+SUM(O6:O30))/8+SUM(N6:N30)/6</f>
        <v>144.0625</v>
      </c>
      <c r="P31" s="176"/>
      <c r="Q31" s="176"/>
      <c r="R31" s="178">
        <f>(SUM(P6:P30)+SUM(R6:R30))/8+SUM(Q6:Q30)/6</f>
        <v>141.0625</v>
      </c>
      <c r="S31" s="176"/>
      <c r="T31" s="176"/>
      <c r="U31" s="178">
        <f>(SUM(S6:S30)+SUM(U6:U30))/8+SUM(T6:T30)/6</f>
        <v>166.25</v>
      </c>
      <c r="V31" s="176"/>
      <c r="W31" s="176"/>
      <c r="X31" s="178">
        <f>(SUM(V6:V30)+SUM(X6:X30))/8+SUM(W6:W30)/6</f>
        <v>168</v>
      </c>
      <c r="Y31" s="176"/>
      <c r="Z31" s="176"/>
      <c r="AA31" s="178">
        <f>(SUM(Y6:Y30)+SUM(AA6:AA30))/8+SUM(Z6:Z30)/6</f>
        <v>214.875</v>
      </c>
      <c r="AB31" s="176"/>
      <c r="AC31" s="176"/>
      <c r="AD31" s="178">
        <f>(SUM(AB6:AB30)+SUM(AD6:AD30))/8+SUM(AC6:AC30)/6</f>
        <v>188.125</v>
      </c>
      <c r="AE31" s="176"/>
      <c r="AF31" s="176"/>
      <c r="AG31" s="178">
        <f>(SUM(AE6:AE30)+SUM(AG6:AG30))/8+SUM(AF6:AF30)/6</f>
        <v>169.375</v>
      </c>
      <c r="AH31" s="178"/>
      <c r="AI31" s="178"/>
      <c r="AJ31" s="178">
        <f t="shared" ref="AJ31" si="2">(SUM(AH6:AH30)+SUM(AJ6:AJ30))/8+SUM(AI6:AI30)/6</f>
        <v>150.8125</v>
      </c>
      <c r="AK31" s="178"/>
      <c r="AL31" s="178"/>
      <c r="AM31" s="178">
        <f>(SUM(AK6:AK30)+SUM(AM6:AM30))/8+SUM(AL6:AL30)/6</f>
        <v>154.20833333333331</v>
      </c>
      <c r="AN31" s="178"/>
      <c r="AO31" s="178"/>
      <c r="AP31" s="178">
        <f>(SUM(AN6:AN30)+SUM(AP6:AP30))/8+SUM(AO6:AO30)/6</f>
        <v>136.875</v>
      </c>
      <c r="AQ31" s="175">
        <f>SUM(AQ6:AQ30)</f>
        <v>1115240.7384375001</v>
      </c>
      <c r="AR31" s="175">
        <f>SUM(AR6:AR30)</f>
        <v>1682.0833333333335</v>
      </c>
    </row>
    <row r="32" spans="1:44" ht="14.45">
      <c r="D32" s="4"/>
      <c r="E32" s="28"/>
      <c r="F32" s="73"/>
      <c r="G32" s="73"/>
      <c r="H32" s="73"/>
      <c r="I32" s="73"/>
      <c r="J32" s="73"/>
      <c r="K32" s="24"/>
      <c r="L32" s="24"/>
      <c r="M32" s="28"/>
      <c r="N32" s="57"/>
    </row>
    <row r="33" spans="2:16" ht="14.45">
      <c r="D33" s="4"/>
      <c r="E33" s="28"/>
      <c r="F33" s="73"/>
      <c r="G33" s="73"/>
      <c r="H33" s="73"/>
      <c r="I33" s="73"/>
      <c r="J33" s="73"/>
      <c r="K33" s="24"/>
      <c r="L33" s="24"/>
      <c r="M33" s="28"/>
      <c r="N33" s="57"/>
    </row>
    <row r="34" spans="2:16" ht="14.1">
      <c r="F34" s="39" t="s">
        <v>148</v>
      </c>
      <c r="G34" s="39"/>
      <c r="H34" s="40"/>
      <c r="I34" s="40"/>
      <c r="J34" s="40"/>
      <c r="K34" s="40"/>
      <c r="L34" s="40"/>
      <c r="M34" s="40"/>
      <c r="N34" s="41">
        <f>AQ31*3.75</f>
        <v>4182152.7691406254</v>
      </c>
      <c r="P34" s="209"/>
    </row>
    <row r="35" spans="2:16" ht="14.1">
      <c r="F35" s="39" t="s">
        <v>149</v>
      </c>
      <c r="G35" s="39"/>
      <c r="H35" s="40"/>
      <c r="I35" s="40"/>
      <c r="J35" s="40"/>
      <c r="K35" s="40"/>
      <c r="L35" s="40"/>
      <c r="M35" s="40"/>
      <c r="N35" s="41">
        <f>N34/AR31</f>
        <v>2486.293447098712</v>
      </c>
      <c r="O35" s="29"/>
      <c r="P35" s="37"/>
    </row>
    <row r="37" spans="2:16" ht="14.1">
      <c r="D37">
        <v>10</v>
      </c>
      <c r="E37">
        <v>11</v>
      </c>
    </row>
    <row r="38" spans="2:16" ht="14.1">
      <c r="B38" s="131" t="s">
        <v>125</v>
      </c>
      <c r="C38" s="131">
        <v>112.25</v>
      </c>
      <c r="D38">
        <v>176</v>
      </c>
      <c r="E38">
        <v>168</v>
      </c>
    </row>
    <row r="39" spans="2:16" ht="14.45">
      <c r="B39" s="207" t="s">
        <v>152</v>
      </c>
      <c r="C39" s="207">
        <v>112.25</v>
      </c>
      <c r="D39">
        <v>176</v>
      </c>
      <c r="E39">
        <v>168</v>
      </c>
    </row>
    <row r="40" spans="2:16" ht="14.1">
      <c r="B40" s="131" t="s">
        <v>153</v>
      </c>
      <c r="C40" s="131">
        <v>45.215000000000003</v>
      </c>
      <c r="D40">
        <v>176</v>
      </c>
      <c r="E40">
        <v>168</v>
      </c>
      <c r="N40" s="29"/>
    </row>
    <row r="41" spans="2:16" ht="14.45">
      <c r="B41" s="207" t="s">
        <v>156</v>
      </c>
      <c r="C41" s="207">
        <v>56.25</v>
      </c>
      <c r="D41">
        <v>176</v>
      </c>
      <c r="E41">
        <v>168</v>
      </c>
    </row>
    <row r="42" spans="2:16" ht="14.45">
      <c r="B42" s="207" t="s">
        <v>160</v>
      </c>
      <c r="C42" s="207">
        <v>112.25</v>
      </c>
      <c r="D42">
        <v>176</v>
      </c>
      <c r="E42">
        <v>168</v>
      </c>
    </row>
    <row r="43" spans="2:16" ht="14.1">
      <c r="B43" s="131" t="s">
        <v>168</v>
      </c>
      <c r="C43" s="131">
        <v>51.631250000000001</v>
      </c>
      <c r="D43">
        <v>176</v>
      </c>
      <c r="E43">
        <v>168</v>
      </c>
    </row>
    <row r="44" spans="2:16" ht="14.45">
      <c r="B44" s="207" t="s">
        <v>169</v>
      </c>
      <c r="C44" s="207">
        <v>112.25</v>
      </c>
      <c r="D44">
        <v>176</v>
      </c>
      <c r="E44">
        <v>168</v>
      </c>
    </row>
    <row r="45" spans="2:16" ht="14.1">
      <c r="B45" s="131" t="s">
        <v>172</v>
      </c>
      <c r="C45" s="131">
        <v>45.215000000000003</v>
      </c>
      <c r="D45">
        <v>176</v>
      </c>
      <c r="E45">
        <v>168</v>
      </c>
    </row>
    <row r="46" spans="2:16" ht="14.1">
      <c r="M46" s="37"/>
    </row>
    <row r="47" spans="2:16" ht="14.45">
      <c r="B47" s="207" t="s">
        <v>167</v>
      </c>
      <c r="C47" s="207">
        <v>168.4</v>
      </c>
      <c r="D47">
        <v>166</v>
      </c>
      <c r="M47" s="37"/>
    </row>
    <row r="48" spans="2:16" ht="14.1">
      <c r="M48" s="37"/>
      <c r="N48" s="37"/>
    </row>
    <row r="49" ht="14.1"/>
    <row r="50" ht="14.1"/>
    <row r="51" ht="14.1"/>
    <row r="52" ht="14.1"/>
    <row r="53" ht="14.1"/>
    <row r="54" ht="14.1"/>
    <row r="55" ht="14.1"/>
    <row r="56" ht="14.1"/>
    <row r="57" ht="14.1"/>
  </sheetData>
  <mergeCells count="5">
    <mergeCell ref="M4:O4"/>
    <mergeCell ref="B1:D1"/>
    <mergeCell ref="G4:I4"/>
    <mergeCell ref="J4:L4"/>
    <mergeCell ref="P4:R4"/>
  </mergeCells>
  <phoneticPr fontId="28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113FF"/>
  </sheetPr>
  <dimension ref="A1:AJ27"/>
  <sheetViews>
    <sheetView showGridLines="0" tabSelected="1" topLeftCell="A12" zoomScale="80" zoomScaleNormal="80" workbookViewId="0">
      <selection activeCell="J19" sqref="J19"/>
    </sheetView>
  </sheetViews>
  <sheetFormatPr defaultRowHeight="14.1"/>
  <cols>
    <col min="1" max="1" width="19.375" customWidth="1"/>
    <col min="2" max="2" width="12.375" hidden="1" customWidth="1"/>
    <col min="3" max="4" width="13.125" bestFit="1" customWidth="1"/>
    <col min="5" max="5" width="12.375" customWidth="1"/>
    <col min="6" max="6" width="20.375" customWidth="1"/>
    <col min="7" max="7" width="15.25" bestFit="1" customWidth="1"/>
    <col min="8" max="8" width="11.375" customWidth="1"/>
    <col min="9" max="9" width="17" customWidth="1"/>
    <col min="10" max="10" width="19.75" customWidth="1"/>
    <col min="11" max="11" width="10.375" customWidth="1"/>
    <col min="12" max="13" width="12.375" customWidth="1"/>
    <col min="14" max="14" width="15.375" bestFit="1" customWidth="1"/>
    <col min="15" max="16" width="15.375" customWidth="1"/>
    <col min="17" max="17" width="16.75" bestFit="1" customWidth="1"/>
    <col min="18" max="18" width="13.375" bestFit="1" customWidth="1"/>
    <col min="19" max="19" width="0.375" customWidth="1"/>
    <col min="20" max="20" width="16.625" bestFit="1" customWidth="1"/>
    <col min="21" max="21" width="17.375" customWidth="1"/>
    <col min="22" max="25" width="16.375" customWidth="1"/>
    <col min="26" max="26" width="18.375" customWidth="1"/>
    <col min="27" max="27" width="12.375" bestFit="1" customWidth="1"/>
    <col min="28" max="28" width="13.375" customWidth="1"/>
    <col min="29" max="31" width="15.375" customWidth="1"/>
    <col min="34" max="34" width="13.375" customWidth="1"/>
    <col min="36" max="36" width="9.375" bestFit="1" customWidth="1"/>
  </cols>
  <sheetData>
    <row r="1" spans="1:36" ht="31.5" customHeight="1">
      <c r="A1" s="133" t="s">
        <v>2</v>
      </c>
      <c r="B1" s="135"/>
      <c r="C1" s="229"/>
      <c r="D1" s="229"/>
      <c r="E1" s="229"/>
      <c r="F1" s="136" t="s">
        <v>48</v>
      </c>
      <c r="G1" s="229"/>
      <c r="H1" s="229"/>
      <c r="I1" s="140"/>
      <c r="L1" s="1"/>
      <c r="M1" s="1"/>
      <c r="Y1" s="92"/>
    </row>
    <row r="2" spans="1:36" ht="31.5" customHeight="1">
      <c r="A2" s="138" t="s">
        <v>49</v>
      </c>
      <c r="B2" s="139"/>
      <c r="C2" s="230"/>
      <c r="D2" s="230"/>
      <c r="E2" s="230"/>
      <c r="F2" s="138" t="s">
        <v>50</v>
      </c>
      <c r="G2" s="230"/>
      <c r="H2" s="230"/>
      <c r="I2" s="141"/>
      <c r="J2" s="136" t="s">
        <v>51</v>
      </c>
      <c r="K2" s="231"/>
      <c r="L2" s="231"/>
      <c r="M2" s="231"/>
      <c r="N2" s="231"/>
      <c r="Y2" s="92"/>
    </row>
    <row r="3" spans="1:36" ht="31.5" customHeight="1">
      <c r="A3" s="137" t="s">
        <v>52</v>
      </c>
      <c r="B3" s="135"/>
      <c r="C3" s="232"/>
      <c r="D3" s="229"/>
      <c r="E3" s="229"/>
      <c r="F3" s="137" t="s">
        <v>53</v>
      </c>
      <c r="G3" s="229"/>
      <c r="H3" s="229"/>
      <c r="I3" s="140"/>
      <c r="K3" s="231"/>
      <c r="L3" s="231"/>
      <c r="M3" s="231"/>
      <c r="N3" s="231"/>
      <c r="Y3" s="92"/>
    </row>
    <row r="4" spans="1:36" ht="31.5" customHeight="1">
      <c r="A4" s="138" t="s">
        <v>54</v>
      </c>
      <c r="B4" s="139"/>
      <c r="C4" s="236"/>
      <c r="D4" s="236"/>
      <c r="E4" s="236"/>
      <c r="F4" s="138" t="s">
        <v>55</v>
      </c>
      <c r="G4" s="236"/>
      <c r="H4" s="236"/>
      <c r="I4" s="141"/>
      <c r="K4" s="1"/>
      <c r="L4" s="1"/>
      <c r="M4" s="1"/>
      <c r="Y4" s="92"/>
    </row>
    <row r="5" spans="1:36" ht="20.45" thickBot="1">
      <c r="A5" s="149"/>
      <c r="B5" s="143"/>
      <c r="C5" s="237" t="s">
        <v>56</v>
      </c>
      <c r="D5" s="238"/>
      <c r="E5" s="239"/>
      <c r="F5" s="240" t="s">
        <v>57</v>
      </c>
      <c r="G5" s="238"/>
      <c r="H5" s="238"/>
      <c r="I5" s="238"/>
      <c r="J5" s="238"/>
      <c r="K5" s="238"/>
      <c r="L5" s="238"/>
      <c r="M5" s="238"/>
      <c r="N5" s="238"/>
      <c r="O5" s="241"/>
      <c r="P5" s="242" t="s">
        <v>58</v>
      </c>
      <c r="Q5" s="243"/>
      <c r="R5" s="243"/>
      <c r="S5" s="95"/>
      <c r="T5" s="244" t="s">
        <v>59</v>
      </c>
      <c r="U5" s="234"/>
      <c r="V5" s="234"/>
      <c r="W5" s="233" t="s">
        <v>60</v>
      </c>
      <c r="X5" s="234"/>
      <c r="Y5" s="235" t="s">
        <v>61</v>
      </c>
      <c r="Z5" s="235"/>
      <c r="AA5" s="235"/>
      <c r="AB5" s="235"/>
      <c r="AC5" s="235"/>
      <c r="AD5" s="235"/>
      <c r="AE5" s="208"/>
    </row>
    <row r="6" spans="1:36" s="11" customFormat="1" ht="44.1" thickBot="1">
      <c r="A6" s="150" t="s">
        <v>62</v>
      </c>
      <c r="B6" s="85" t="s">
        <v>63</v>
      </c>
      <c r="C6" s="85" t="s">
        <v>64</v>
      </c>
      <c r="D6" s="85" t="s">
        <v>25</v>
      </c>
      <c r="E6" s="145" t="s">
        <v>65</v>
      </c>
      <c r="F6" s="85" t="s">
        <v>66</v>
      </c>
      <c r="G6" s="85" t="s">
        <v>67</v>
      </c>
      <c r="H6" s="85" t="s">
        <v>68</v>
      </c>
      <c r="I6" s="85" t="s">
        <v>69</v>
      </c>
      <c r="J6" s="85" t="s">
        <v>70</v>
      </c>
      <c r="K6" s="85" t="s">
        <v>71</v>
      </c>
      <c r="L6" s="85" t="s">
        <v>72</v>
      </c>
      <c r="M6" s="85" t="s">
        <v>73</v>
      </c>
      <c r="N6" s="85" t="s">
        <v>74</v>
      </c>
      <c r="O6" s="145" t="s">
        <v>75</v>
      </c>
      <c r="P6" s="85" t="s">
        <v>76</v>
      </c>
      <c r="Q6" s="85" t="s">
        <v>77</v>
      </c>
      <c r="R6" s="85" t="s">
        <v>78</v>
      </c>
      <c r="S6" s="112"/>
      <c r="T6" s="85" t="s">
        <v>79</v>
      </c>
      <c r="U6" s="85" t="s">
        <v>80</v>
      </c>
      <c r="V6" s="145" t="s">
        <v>81</v>
      </c>
      <c r="W6" s="85" t="s">
        <v>82</v>
      </c>
      <c r="X6" s="145" t="s">
        <v>83</v>
      </c>
      <c r="Y6" s="85" t="s">
        <v>84</v>
      </c>
      <c r="Z6" s="85" t="s">
        <v>85</v>
      </c>
      <c r="AA6" s="85" t="s">
        <v>86</v>
      </c>
      <c r="AB6" s="85" t="s">
        <v>87</v>
      </c>
      <c r="AC6" s="85" t="s">
        <v>88</v>
      </c>
      <c r="AD6" s="85" t="s">
        <v>89</v>
      </c>
      <c r="AE6" s="85" t="s">
        <v>90</v>
      </c>
    </row>
    <row r="7" spans="1:36" s="184" customFormat="1" ht="15.6">
      <c r="A7" s="185"/>
      <c r="B7" s="186"/>
      <c r="C7" s="187"/>
      <c r="D7" s="187"/>
      <c r="E7" s="188"/>
      <c r="F7" s="186"/>
      <c r="G7" s="187"/>
      <c r="H7" s="187"/>
      <c r="I7" s="187" t="s">
        <v>91</v>
      </c>
      <c r="J7" s="187" t="s">
        <v>92</v>
      </c>
      <c r="K7" s="187"/>
      <c r="L7" s="187"/>
      <c r="M7" s="187"/>
      <c r="N7" s="187" t="s">
        <v>93</v>
      </c>
      <c r="O7" s="188" t="s">
        <v>94</v>
      </c>
      <c r="P7" s="189"/>
      <c r="Q7" s="186" t="s">
        <v>95</v>
      </c>
      <c r="R7" s="187" t="s">
        <v>96</v>
      </c>
      <c r="S7" s="187"/>
      <c r="T7" s="187" t="s">
        <v>97</v>
      </c>
      <c r="U7" s="189"/>
      <c r="V7" s="190" t="s">
        <v>98</v>
      </c>
      <c r="W7" s="186" t="s">
        <v>99</v>
      </c>
      <c r="X7" s="191" t="s">
        <v>100</v>
      </c>
      <c r="Y7" s="192" t="s">
        <v>101</v>
      </c>
      <c r="Z7" s="189" t="s">
        <v>102</v>
      </c>
      <c r="AA7" s="189" t="s">
        <v>103</v>
      </c>
      <c r="AB7" s="189"/>
      <c r="AC7" s="189"/>
      <c r="AD7" s="3"/>
      <c r="AE7" s="3"/>
    </row>
    <row r="8" spans="1:36" ht="15.6">
      <c r="A8" s="151">
        <v>45798</v>
      </c>
      <c r="B8" s="148"/>
      <c r="C8" s="87">
        <f>'Budget - Consultation'!$E$17</f>
        <v>6641250</v>
      </c>
      <c r="D8" s="87">
        <f>'Budget - Consultation'!$E$16</f>
        <v>4811400</v>
      </c>
      <c r="E8" s="146">
        <f>'Budget - Consultation'!$E$12</f>
        <v>1848</v>
      </c>
      <c r="F8" s="148">
        <f>'Current Effort - Consultation'!I31</f>
        <v>3.875</v>
      </c>
      <c r="G8" s="87">
        <v>3.88</v>
      </c>
      <c r="H8" s="156">
        <v>0.01</v>
      </c>
      <c r="I8" s="202">
        <v>19573.59</v>
      </c>
      <c r="J8" s="155">
        <f>E8-G8</f>
        <v>1844.12</v>
      </c>
      <c r="K8" s="203">
        <f>J8+G8</f>
        <v>1848</v>
      </c>
      <c r="L8" s="132">
        <f>(G8/E8)/H8-100%</f>
        <v>-0.7900432900432901</v>
      </c>
      <c r="M8" s="181">
        <f>H8*C8</f>
        <v>66412.5</v>
      </c>
      <c r="N8" s="88">
        <f>J8*'Current Effort - Consultation'!$N$35</f>
        <v>4585023.4716636762</v>
      </c>
      <c r="O8" s="159">
        <f>N8+I8</f>
        <v>4604597.0616636761</v>
      </c>
      <c r="P8" s="182">
        <f>D8/O8</f>
        <v>1.0449122769195367</v>
      </c>
      <c r="Q8" s="158">
        <f>'Budget - Consultation'!$I$15-O8</f>
        <v>206802.93833632395</v>
      </c>
      <c r="R8" s="90">
        <f>Q8/'Budget - Consultation'!$I$16</f>
        <v>3.1139158793348231E-2</v>
      </c>
      <c r="S8" s="113"/>
      <c r="T8" s="89">
        <f>'Budget - Consultation'!$I$16-O8</f>
        <v>2036652.9383363239</v>
      </c>
      <c r="U8" s="161">
        <f>'Budget - Consultation'!$E$19</f>
        <v>0.27552795031055899</v>
      </c>
      <c r="V8" s="162">
        <f>T8/'Budget - Consultation'!$I$16</f>
        <v>0.30666710910390726</v>
      </c>
      <c r="W8" s="158">
        <f>T8-'Budget - Consultation'!$I$17</f>
        <v>206802.93833632395</v>
      </c>
      <c r="X8" s="161">
        <f>V8-'Budget - Consultation'!$I$18</f>
        <v>3.1139158793348276E-2</v>
      </c>
      <c r="Y8" s="160">
        <v>0</v>
      </c>
      <c r="Z8" s="93">
        <f t="shared" ref="Z8:Z11" si="0">H8</f>
        <v>0.01</v>
      </c>
      <c r="AA8" s="94">
        <f t="shared" ref="AA8" si="1">C8*Z8</f>
        <v>66412.5</v>
      </c>
      <c r="AB8" s="94">
        <f t="shared" ref="AB8:AB10" si="2">AA8-AA7</f>
        <v>66431.5</v>
      </c>
      <c r="AC8" s="94">
        <f t="shared" ref="AC8:AC9" si="3">AA8-Y8</f>
        <v>66412.5</v>
      </c>
      <c r="AD8" s="94">
        <f t="shared" ref="AD8:AD10" si="4">AC8-AC7</f>
        <v>66412.5</v>
      </c>
      <c r="AE8" s="94">
        <f t="shared" ref="AE8:AE12" si="5">AC8+Y8</f>
        <v>66412.5</v>
      </c>
    </row>
    <row r="9" spans="1:36" ht="15.6">
      <c r="A9" s="151">
        <v>45829</v>
      </c>
      <c r="B9" s="144"/>
      <c r="C9" s="87">
        <f>'Budget - Consultation'!$E$17</f>
        <v>6641250</v>
      </c>
      <c r="D9" s="87">
        <f>'Budget - Consultation'!$E$16</f>
        <v>4811400</v>
      </c>
      <c r="E9" s="146">
        <f>'Budget - Consultation'!$E$12</f>
        <v>1848</v>
      </c>
      <c r="F9" s="148">
        <f>'Current Effort - Consultation'!L31</f>
        <v>44.5625</v>
      </c>
      <c r="G9" s="87">
        <f>F9+G8</f>
        <v>48.442500000000003</v>
      </c>
      <c r="H9" s="156">
        <v>0.02</v>
      </c>
      <c r="I9" s="202">
        <v>121184.57</v>
      </c>
      <c r="J9" s="155">
        <f>E9-G9</f>
        <v>1799.5574999999999</v>
      </c>
      <c r="K9" s="203">
        <f t="shared" ref="K9:K11" si="6">J9+G9</f>
        <v>1848</v>
      </c>
      <c r="L9" s="132">
        <f t="shared" ref="L9:L10" si="7">(G9/E9)/H9-100%</f>
        <v>0.31067370129870153</v>
      </c>
      <c r="M9" s="181">
        <f t="shared" ref="M9:M11" si="8">H9*C9</f>
        <v>132825</v>
      </c>
      <c r="N9" s="88">
        <f>J9*'Current Effort - Consultation'!$N$35</f>
        <v>4474228.0199273406</v>
      </c>
      <c r="O9" s="159">
        <f t="shared" ref="O9:O10" si="9">N9+I9</f>
        <v>4595412.5899273409</v>
      </c>
      <c r="P9" s="182">
        <f t="shared" ref="P9:P11" si="10">D9/O9</f>
        <v>1.0470006568172097</v>
      </c>
      <c r="Q9" s="158">
        <f>'Budget - Consultation'!$I$15-O9</f>
        <v>215987.41007265914</v>
      </c>
      <c r="R9" s="90">
        <f>Q9/'Budget - Consultation'!$I$16</f>
        <v>3.2522102024868681E-2</v>
      </c>
      <c r="S9" s="113"/>
      <c r="T9" s="89">
        <f>'Budget - Consultation'!$I$16-O9</f>
        <v>2045837.4100726591</v>
      </c>
      <c r="U9" s="161">
        <f>'Budget - Consultation'!$E$19</f>
        <v>0.27552795031055899</v>
      </c>
      <c r="V9" s="162">
        <f>T9/'Budget - Consultation'!$I$16</f>
        <v>0.3080500523354277</v>
      </c>
      <c r="W9" s="158">
        <f>T9-'Budget - Consultation'!$I$17</f>
        <v>215987.41007265914</v>
      </c>
      <c r="X9" s="161">
        <f>V9-'Budget - Consultation'!$I$18</f>
        <v>3.2522102024868715E-2</v>
      </c>
      <c r="Y9" s="160">
        <v>0</v>
      </c>
      <c r="Z9" s="93">
        <f t="shared" si="0"/>
        <v>0.02</v>
      </c>
      <c r="AA9" s="94">
        <f>C9*H9</f>
        <v>132825</v>
      </c>
      <c r="AB9" s="94">
        <f t="shared" si="2"/>
        <v>66412.5</v>
      </c>
      <c r="AC9" s="94">
        <f t="shared" si="3"/>
        <v>132825</v>
      </c>
      <c r="AD9" s="94">
        <f t="shared" si="4"/>
        <v>66412.5</v>
      </c>
      <c r="AE9" s="94">
        <f t="shared" si="5"/>
        <v>132825</v>
      </c>
    </row>
    <row r="10" spans="1:36" ht="15.6">
      <c r="A10" s="151">
        <v>45859</v>
      </c>
      <c r="B10" s="144"/>
      <c r="C10" s="87">
        <f>'Budget - Consultation'!$E$17</f>
        <v>6641250</v>
      </c>
      <c r="D10" s="87">
        <f>'Budget - Consultation'!$E$16</f>
        <v>4811400</v>
      </c>
      <c r="E10" s="146">
        <f>'Budget - Consultation'!$E$12</f>
        <v>1848</v>
      </c>
      <c r="F10" s="148">
        <f>'Current Effort - Consultation'!O31</f>
        <v>144.0625</v>
      </c>
      <c r="G10" s="87">
        <f t="shared" ref="G10:G17" si="11">F10+G9</f>
        <v>192.505</v>
      </c>
      <c r="H10" s="156">
        <v>0.08</v>
      </c>
      <c r="I10" s="202">
        <v>454192.88</v>
      </c>
      <c r="J10" s="155">
        <f>E10-G10</f>
        <v>1655.4949999999999</v>
      </c>
      <c r="K10" s="203">
        <f t="shared" si="6"/>
        <v>1848</v>
      </c>
      <c r="L10" s="132">
        <f t="shared" si="7"/>
        <v>0.30211715367965364</v>
      </c>
      <c r="M10" s="181">
        <f t="shared" si="8"/>
        <v>531300</v>
      </c>
      <c r="N10" s="88">
        <f>J10*'Current Effort - Consultation'!$N$35</f>
        <v>4116046.370204682</v>
      </c>
      <c r="O10" s="159">
        <f t="shared" si="9"/>
        <v>4570239.2502046824</v>
      </c>
      <c r="P10" s="182">
        <f t="shared" si="10"/>
        <v>1.052767642259542</v>
      </c>
      <c r="Q10" s="158">
        <f>'Budget - Consultation'!$I$15-O10</f>
        <v>241160.74979531765</v>
      </c>
      <c r="R10" s="90">
        <f>Q10/'Budget - Consultation'!$I$16</f>
        <v>3.6312554081734262E-2</v>
      </c>
      <c r="S10" s="114"/>
      <c r="T10" s="89">
        <f>'Budget - Consultation'!$I$16-O10</f>
        <v>2071010.7497953176</v>
      </c>
      <c r="U10" s="161">
        <f>'Budget - Consultation'!$E$19</f>
        <v>0.27552795031055899</v>
      </c>
      <c r="V10" s="162">
        <f>T10/'Budget - Consultation'!$I$16</f>
        <v>0.31184050439229327</v>
      </c>
      <c r="W10" s="158">
        <f>T10-'Budget - Consultation'!$I$17</f>
        <v>241160.74979531765</v>
      </c>
      <c r="X10" s="161">
        <f>V10-'Budget - Consultation'!$I$18</f>
        <v>3.6312554081734283E-2</v>
      </c>
      <c r="Y10" s="160">
        <v>0</v>
      </c>
      <c r="Z10" s="93">
        <f t="shared" si="0"/>
        <v>0.08</v>
      </c>
      <c r="AA10" s="94">
        <f>C10*H10</f>
        <v>531300</v>
      </c>
      <c r="AB10" s="94">
        <f t="shared" si="2"/>
        <v>398475</v>
      </c>
      <c r="AC10" s="94">
        <f>AA10-Y10</f>
        <v>531300</v>
      </c>
      <c r="AD10" s="94">
        <f t="shared" si="4"/>
        <v>398475</v>
      </c>
      <c r="AE10" s="94">
        <f t="shared" si="5"/>
        <v>531300</v>
      </c>
    </row>
    <row r="11" spans="1:36" ht="13.5" customHeight="1">
      <c r="A11" s="151">
        <v>45890</v>
      </c>
      <c r="B11" s="144"/>
      <c r="C11" s="87">
        <f>'Budget - Consultation'!$E$17</f>
        <v>6641250</v>
      </c>
      <c r="D11" s="87">
        <f>'Budget - Consultation'!$E$16</f>
        <v>4811400</v>
      </c>
      <c r="E11" s="146">
        <f>'Budget - Consultation'!$E$12</f>
        <v>1848</v>
      </c>
      <c r="F11" s="148">
        <f>'Current Effort - Consultation'!R31</f>
        <v>141.0625</v>
      </c>
      <c r="G11" s="87">
        <f t="shared" si="11"/>
        <v>333.5675</v>
      </c>
      <c r="H11" s="156">
        <v>0.18</v>
      </c>
      <c r="I11" s="202">
        <v>807937.078125</v>
      </c>
      <c r="J11" s="155">
        <f>E11-G11</f>
        <v>1514.4324999999999</v>
      </c>
      <c r="K11" s="203">
        <f t="shared" si="6"/>
        <v>1848</v>
      </c>
      <c r="L11" s="132">
        <f>(G11/E11)/H11-100%</f>
        <v>2.7882996632997425E-3</v>
      </c>
      <c r="M11" s="181">
        <f t="shared" si="8"/>
        <v>1195425</v>
      </c>
      <c r="N11" s="88">
        <f>J11*'Current Effort - Consultation'!$N$35</f>
        <v>3765323.60082332</v>
      </c>
      <c r="O11" s="159">
        <f>N11+I11</f>
        <v>4573260.6789483204</v>
      </c>
      <c r="P11" s="182">
        <f t="shared" si="10"/>
        <v>1.0520721073582979</v>
      </c>
      <c r="Q11" s="158">
        <f>'Budget - Consultation'!$I$15-O11</f>
        <v>238139.32105167955</v>
      </c>
      <c r="R11" s="90">
        <f>Q11/'Budget - Consultation'!$I$16</f>
        <v>3.5857605277873829E-2</v>
      </c>
      <c r="S11" s="114"/>
      <c r="T11" s="89">
        <f>'Budget - Consultation'!$I$16-O11</f>
        <v>2067989.3210516796</v>
      </c>
      <c r="U11" s="161">
        <f>'Budget - Consultation'!$E$19</f>
        <v>0.27552795031055899</v>
      </c>
      <c r="V11" s="162">
        <f>T11/'Budget - Consultation'!$I$16</f>
        <v>0.31138555558843284</v>
      </c>
      <c r="W11" s="158">
        <f>T11-'Budget - Consultation'!$I$17</f>
        <v>238139.32105167955</v>
      </c>
      <c r="X11" s="161">
        <f>V11-'Budget - Consultation'!$I$18</f>
        <v>3.585760527787385E-2</v>
      </c>
      <c r="Y11" s="204">
        <v>0</v>
      </c>
      <c r="Z11" s="93">
        <f t="shared" si="0"/>
        <v>0.18</v>
      </c>
      <c r="AA11" s="94">
        <f>C11*H11</f>
        <v>1195425</v>
      </c>
      <c r="AB11" s="94">
        <f>AA11-AA10</f>
        <v>664125</v>
      </c>
      <c r="AC11" s="94">
        <f>AA11-Y11</f>
        <v>1195425</v>
      </c>
      <c r="AD11" s="94">
        <f>AC11-AC10</f>
        <v>664125</v>
      </c>
      <c r="AE11" s="94">
        <f t="shared" si="5"/>
        <v>1195425</v>
      </c>
      <c r="AJ11" s="205"/>
    </row>
    <row r="12" spans="1:36" ht="15.6">
      <c r="A12" s="151">
        <v>45921</v>
      </c>
      <c r="B12" s="144"/>
      <c r="C12" s="87">
        <v>6641250</v>
      </c>
      <c r="D12" s="87">
        <v>4811400</v>
      </c>
      <c r="E12" s="146">
        <v>1848</v>
      </c>
      <c r="F12" s="148">
        <v>166.25</v>
      </c>
      <c r="G12" s="87">
        <f t="shared" si="11"/>
        <v>499.8175</v>
      </c>
      <c r="H12" s="156">
        <v>0.25</v>
      </c>
      <c r="I12" s="202">
        <v>1224457.0593749997</v>
      </c>
      <c r="J12" s="155">
        <v>1678.25</v>
      </c>
      <c r="K12" s="203">
        <f>J12+G12</f>
        <v>2178.0675000000001</v>
      </c>
      <c r="L12" s="132">
        <f>(G12/E12)/H12-100%</f>
        <v>8.1856060606060543E-2</v>
      </c>
      <c r="M12" s="181">
        <v>1660312.5</v>
      </c>
      <c r="N12" s="88">
        <v>4111431.9067572206</v>
      </c>
      <c r="O12" s="159">
        <v>5335888.9661322199</v>
      </c>
      <c r="P12" s="182">
        <v>0.90170541976018637</v>
      </c>
      <c r="Q12" s="158">
        <v>-524488.96613221988</v>
      </c>
      <c r="R12" s="90">
        <v>-7.8974434953091643E-2</v>
      </c>
      <c r="S12" s="114"/>
      <c r="T12" s="89">
        <v>1305361.0338677801</v>
      </c>
      <c r="U12" s="161">
        <v>0.27552795031055899</v>
      </c>
      <c r="V12" s="162">
        <v>0.19655351535746737</v>
      </c>
      <c r="W12" s="158">
        <v>-524488.96613221988</v>
      </c>
      <c r="X12" s="161">
        <v>-7.8974434953091616E-2</v>
      </c>
      <c r="Y12" s="204">
        <v>0</v>
      </c>
      <c r="Z12" s="93">
        <f>I12/O12</f>
        <v>0.2294757381847399</v>
      </c>
      <c r="AA12" s="94">
        <f>C12*H12</f>
        <v>1660312.5</v>
      </c>
      <c r="AB12" s="94">
        <f>AA12-AA11</f>
        <v>464887.5</v>
      </c>
      <c r="AC12" s="94">
        <f>AA12-Y12</f>
        <v>1660312.5</v>
      </c>
      <c r="AD12" s="94">
        <f>AC12-AC11</f>
        <v>464887.5</v>
      </c>
      <c r="AE12" s="94">
        <f t="shared" si="5"/>
        <v>1660312.5</v>
      </c>
    </row>
    <row r="13" spans="1:36" ht="15.6">
      <c r="A13" s="151">
        <v>45951</v>
      </c>
      <c r="B13" s="144"/>
      <c r="C13" s="87">
        <v>6641250</v>
      </c>
      <c r="D13" s="87">
        <v>4811400</v>
      </c>
      <c r="E13" s="146">
        <v>1848</v>
      </c>
      <c r="F13" s="148">
        <v>168</v>
      </c>
      <c r="G13" s="87">
        <f t="shared" si="11"/>
        <v>667.8175</v>
      </c>
      <c r="H13" s="156">
        <v>0.35</v>
      </c>
      <c r="I13" s="202">
        <v>1616092.3875</v>
      </c>
      <c r="J13" s="155">
        <v>1181</v>
      </c>
      <c r="K13" s="203">
        <f>J13+G13</f>
        <v>1848.8175000000001</v>
      </c>
      <c r="L13" s="132">
        <f>(G13/E13)/H13-100%</f>
        <v>3.2494588744588881E-2</v>
      </c>
      <c r="M13" s="181">
        <f>H13*C13</f>
        <v>2324437.5</v>
      </c>
      <c r="N13" s="88">
        <v>2857995.4847168899</v>
      </c>
      <c r="O13" s="159">
        <v>4474087.8722168896</v>
      </c>
      <c r="P13" s="182">
        <v>1.0753923788304969</v>
      </c>
      <c r="Q13" s="158">
        <v>337312.12778310757</v>
      </c>
      <c r="R13" s="90">
        <v>5.0790457787782052E-2</v>
      </c>
      <c r="S13" s="114"/>
      <c r="T13" s="89">
        <v>2167162.1277831076</v>
      </c>
      <c r="U13" s="161">
        <v>0.27552795031055899</v>
      </c>
      <c r="V13" s="162">
        <v>0.32631840809834106</v>
      </c>
      <c r="W13" s="158">
        <v>337312.12778310757</v>
      </c>
      <c r="X13" s="161">
        <v>5.0790457787782073E-2</v>
      </c>
      <c r="Y13" s="204">
        <v>0</v>
      </c>
      <c r="Z13" s="93">
        <v>0.3612115885196579</v>
      </c>
      <c r="AA13" s="94">
        <v>2324437.5</v>
      </c>
      <c r="AB13" s="94">
        <f>AA13-AA12</f>
        <v>664125</v>
      </c>
      <c r="AC13" s="94">
        <v>2324437.5</v>
      </c>
      <c r="AD13" s="94">
        <f>AC13-AC12</f>
        <v>664125</v>
      </c>
      <c r="AE13" s="94">
        <f>AC13+Y13</f>
        <v>2324437.5</v>
      </c>
    </row>
    <row r="14" spans="1:36" ht="15.6">
      <c r="A14" s="151">
        <v>45982</v>
      </c>
      <c r="B14" s="144"/>
      <c r="C14" s="87">
        <v>6641250</v>
      </c>
      <c r="D14" s="87">
        <v>4811400</v>
      </c>
      <c r="E14" s="146">
        <v>1848</v>
      </c>
      <c r="F14" s="148">
        <v>214.875</v>
      </c>
      <c r="G14" s="87">
        <f t="shared" si="11"/>
        <v>882.6925</v>
      </c>
      <c r="H14" s="156">
        <v>0.48</v>
      </c>
      <c r="I14" s="202">
        <v>2067058.9124999999</v>
      </c>
      <c r="J14" s="155">
        <v>955</v>
      </c>
      <c r="K14" s="203">
        <f>J14+G14</f>
        <v>1837.6925000000001</v>
      </c>
      <c r="L14" s="132">
        <f>(G14/E14)/H14-100%</f>
        <v>-4.9011318542567794E-3</v>
      </c>
      <c r="M14" s="181">
        <f t="shared" ref="M14:M17" si="12">H14*C14</f>
        <v>3187800</v>
      </c>
      <c r="N14" s="88">
        <v>2236398.7950860299</v>
      </c>
      <c r="O14" s="159">
        <v>4303457.7075860295</v>
      </c>
      <c r="P14" s="182">
        <v>1.1180312034944788</v>
      </c>
      <c r="Q14" s="158">
        <v>507942.29241397046</v>
      </c>
      <c r="R14" s="90">
        <v>7.6482935051981241E-2</v>
      </c>
      <c r="S14" s="114"/>
      <c r="T14" s="89">
        <v>2337792.2924139705</v>
      </c>
      <c r="U14" s="161">
        <v>0.27552795031055899</v>
      </c>
      <c r="V14" s="162">
        <v>0.35201088536254027</v>
      </c>
      <c r="W14" s="158">
        <v>507942.29241397046</v>
      </c>
      <c r="X14" s="161">
        <v>7.6482935051981282E-2</v>
      </c>
      <c r="Y14" s="204">
        <v>0</v>
      </c>
      <c r="Z14" s="93">
        <v>0.48032513689079348</v>
      </c>
      <c r="AA14" s="94">
        <v>3187800</v>
      </c>
      <c r="AB14" s="94">
        <v>863362.5</v>
      </c>
      <c r="AC14" s="94">
        <v>3187800</v>
      </c>
      <c r="AD14" s="94">
        <f>AC14-AC13</f>
        <v>863362.5</v>
      </c>
      <c r="AE14" s="94">
        <v>3187800</v>
      </c>
    </row>
    <row r="15" spans="1:36" ht="15.6">
      <c r="A15" s="151">
        <v>46012</v>
      </c>
      <c r="B15" s="144"/>
      <c r="C15" s="87">
        <v>6641250</v>
      </c>
      <c r="D15" s="87">
        <v>4811400</v>
      </c>
      <c r="E15" s="146">
        <v>1848</v>
      </c>
      <c r="F15" s="148">
        <v>188.125</v>
      </c>
      <c r="G15" s="87">
        <f t="shared" si="11"/>
        <v>1070.8175000000001</v>
      </c>
      <c r="H15" s="156">
        <v>0.57999999999999996</v>
      </c>
      <c r="I15" s="202">
        <v>2467746.0750000002</v>
      </c>
      <c r="J15" s="155">
        <v>755.6</v>
      </c>
      <c r="K15" s="203">
        <v>1826.4175</v>
      </c>
      <c r="L15" s="132">
        <v>-9.5396701000127759E-4</v>
      </c>
      <c r="M15" s="181">
        <f t="shared" si="12"/>
        <v>3851924.9999999995</v>
      </c>
      <c r="N15" s="88">
        <v>1741321.5985711787</v>
      </c>
      <c r="O15" s="159">
        <v>4209067.6735711787</v>
      </c>
      <c r="P15" s="182">
        <v>1.1431035025193057</v>
      </c>
      <c r="Q15" s="158">
        <v>602332.32642882131</v>
      </c>
      <c r="R15" s="90">
        <v>9.0695626038595337E-2</v>
      </c>
      <c r="S15" s="114"/>
      <c r="T15" s="89">
        <v>2432182.3264288213</v>
      </c>
      <c r="U15" s="161">
        <v>0.27552795031055899</v>
      </c>
      <c r="V15" s="162">
        <v>0.36622357634915437</v>
      </c>
      <c r="W15" s="158">
        <v>602332.32642882131</v>
      </c>
      <c r="X15" s="161">
        <v>9.0695626038595378E-2</v>
      </c>
      <c r="Y15" s="204">
        <v>931607.14</v>
      </c>
      <c r="Z15" s="93">
        <v>0.58629280077748047</v>
      </c>
      <c r="AA15" s="94">
        <v>3851924.9999999995</v>
      </c>
      <c r="AB15" s="94">
        <v>664124.99999999953</v>
      </c>
      <c r="AC15" s="94">
        <v>2920317.8599999994</v>
      </c>
      <c r="AD15" s="94">
        <v>-267482.1400000006</v>
      </c>
      <c r="AE15" s="94">
        <v>3851924.9999999995</v>
      </c>
    </row>
    <row r="16" spans="1:36" ht="15.6">
      <c r="A16" s="151">
        <v>46043</v>
      </c>
      <c r="B16" s="144"/>
      <c r="C16" s="87">
        <v>6641250</v>
      </c>
      <c r="D16" s="87">
        <v>4811400</v>
      </c>
      <c r="E16" s="146">
        <v>1848</v>
      </c>
      <c r="F16" s="148">
        <v>169.375</v>
      </c>
      <c r="G16" s="87">
        <f t="shared" si="11"/>
        <v>1240.1925000000001</v>
      </c>
      <c r="H16" s="156">
        <v>0.66</v>
      </c>
      <c r="I16" s="202">
        <v>2897830.7437499999</v>
      </c>
      <c r="J16" s="155">
        <v>807.5</v>
      </c>
      <c r="K16" s="203">
        <v>2047.6875</v>
      </c>
      <c r="L16" s="132">
        <v>1.6813836416109229E-2</v>
      </c>
      <c r="M16" s="181">
        <f t="shared" si="12"/>
        <v>4383225</v>
      </c>
      <c r="N16" s="88">
        <v>1886810.1199037444</v>
      </c>
      <c r="O16" s="159">
        <v>4784640.8636537446</v>
      </c>
      <c r="P16" s="182">
        <v>1.0055927157562712</v>
      </c>
      <c r="Q16" s="158">
        <v>26759.136346255429</v>
      </c>
      <c r="R16" s="90">
        <v>4.0292318985515425E-3</v>
      </c>
      <c r="S16" s="114"/>
      <c r="T16" s="89">
        <v>1856609.1363462554</v>
      </c>
      <c r="U16" s="161">
        <v>0.27552795031055899</v>
      </c>
      <c r="V16" s="162">
        <v>0.27955718220911052</v>
      </c>
      <c r="W16" s="158">
        <v>26759.136346255429</v>
      </c>
      <c r="X16" s="161">
        <v>4.029231898551533E-3</v>
      </c>
      <c r="Y16" s="204">
        <v>931607.14</v>
      </c>
      <c r="Z16" s="93">
        <v>0.6056527180050667</v>
      </c>
      <c r="AA16" s="94">
        <v>4383225</v>
      </c>
      <c r="AB16" s="94">
        <v>531300.00000000047</v>
      </c>
      <c r="AC16" s="94">
        <v>3451617.86</v>
      </c>
      <c r="AD16" s="94">
        <v>531300.00000000047</v>
      </c>
      <c r="AE16" s="94">
        <v>4383225</v>
      </c>
      <c r="AF16" s="209">
        <f>AA19-AA15</f>
        <v>730537.50000000047</v>
      </c>
      <c r="AG16" s="209">
        <f>AC19-AC15</f>
        <v>-2064283.6399999997</v>
      </c>
    </row>
    <row r="17" spans="1:33" ht="15.6">
      <c r="A17" s="151">
        <v>46074</v>
      </c>
      <c r="B17" s="144"/>
      <c r="C17" s="87">
        <v>6641250</v>
      </c>
      <c r="D17" s="87">
        <v>4811400</v>
      </c>
      <c r="E17" s="146">
        <v>1848</v>
      </c>
      <c r="F17" s="148">
        <f>'Current Effort - Consultation'!AJ31</f>
        <v>150.8125</v>
      </c>
      <c r="G17" s="87">
        <f t="shared" si="11"/>
        <v>1391.0050000000001</v>
      </c>
      <c r="H17" s="156">
        <v>0.62</v>
      </c>
      <c r="I17" s="202">
        <v>3483382.1835937495</v>
      </c>
      <c r="J17" s="155">
        <v>849</v>
      </c>
      <c r="K17" s="203">
        <v>2205</v>
      </c>
      <c r="L17" s="132">
        <v>0.18349392542940923</v>
      </c>
      <c r="M17" s="181">
        <f t="shared" si="12"/>
        <v>4117575</v>
      </c>
      <c r="N17" s="88">
        <v>2180967.1636217502</v>
      </c>
      <c r="O17" s="159">
        <v>5664349.3472154997</v>
      </c>
      <c r="P17" s="182">
        <v>0.84941794812941829</v>
      </c>
      <c r="Q17" s="158">
        <v>-852949.34721549973</v>
      </c>
      <c r="R17" s="90">
        <v>-0.12843204927016746</v>
      </c>
      <c r="S17" s="114"/>
      <c r="T17" s="89">
        <v>976900.65278450027</v>
      </c>
      <c r="U17" s="161">
        <v>0.27552795031055899</v>
      </c>
      <c r="V17" s="162">
        <v>0.14709590104039152</v>
      </c>
      <c r="W17" s="158">
        <v>-852949.34721549973</v>
      </c>
      <c r="X17" s="161">
        <v>-0.12843204927016746</v>
      </c>
      <c r="Y17" s="204">
        <v>1863214.28</v>
      </c>
      <c r="Z17" s="93">
        <v>0.6149659863945578</v>
      </c>
      <c r="AA17" s="94">
        <v>4117575</v>
      </c>
      <c r="AB17" s="94">
        <v>-265650</v>
      </c>
      <c r="AC17" s="94">
        <v>2254360.7199999997</v>
      </c>
      <c r="AD17" s="94">
        <v>-1197257.1400000001</v>
      </c>
      <c r="AE17" s="94">
        <v>4117575</v>
      </c>
    </row>
    <row r="18" spans="1:33" ht="15.6">
      <c r="A18" s="151">
        <v>46102</v>
      </c>
      <c r="B18" s="144"/>
      <c r="C18" s="87">
        <v>6641250</v>
      </c>
      <c r="D18" s="87">
        <v>4811400</v>
      </c>
      <c r="E18" s="146">
        <v>1848</v>
      </c>
      <c r="F18" s="148">
        <f>'Current Effort - Consultation'!AM31</f>
        <v>154.20833333333331</v>
      </c>
      <c r="G18" s="87">
        <v>1538.38</v>
      </c>
      <c r="H18" s="156">
        <v>0.66</v>
      </c>
      <c r="I18" s="202">
        <v>3903237</v>
      </c>
      <c r="J18" s="155">
        <v>771.5</v>
      </c>
      <c r="K18" s="203">
        <f>J18+G18</f>
        <v>2309.88</v>
      </c>
      <c r="L18" s="132">
        <f>(G18/E18)/H18-100%</f>
        <v>0.26129804538895463</v>
      </c>
      <c r="M18" s="181">
        <f>H18*C18</f>
        <v>4383225</v>
      </c>
      <c r="N18" s="88">
        <v>1954833.6548308381</v>
      </c>
      <c r="O18" s="159">
        <f>N18+I18</f>
        <v>5858070.6548308376</v>
      </c>
      <c r="P18" s="182">
        <f>D18/O18</f>
        <v>0.82132843447907133</v>
      </c>
      <c r="Q18" s="158">
        <f>'Budget - Consultation'!$I$15-O18</f>
        <v>-1046670.6548308376</v>
      </c>
      <c r="R18" s="90">
        <f>Q18/'Budget - Consultation'!$I$16</f>
        <v>-0.15760145376711276</v>
      </c>
      <c r="S18" s="114"/>
      <c r="T18" s="89">
        <f>'Budget - Consultation'!$I$16-O18</f>
        <v>783179.34516916238</v>
      </c>
      <c r="U18" s="161">
        <v>0.27552795031055899</v>
      </c>
      <c r="V18" s="162">
        <f>T18/'Budget - Consultation'!$I$16</f>
        <v>0.11792649654344625</v>
      </c>
      <c r="W18" s="158">
        <f>T18-'Budget - Consultation'!$I$17</f>
        <v>-1046670.6548308376</v>
      </c>
      <c r="X18" s="161">
        <f>V18-'Budget - Consultation'!$I$18</f>
        <v>-0.15760145376711274</v>
      </c>
      <c r="Y18" s="204">
        <v>1863214.28</v>
      </c>
      <c r="Z18" s="93">
        <v>0.66599924238324582</v>
      </c>
      <c r="AA18" s="94">
        <v>4383225</v>
      </c>
      <c r="AB18" s="94">
        <f>AA18-AA17</f>
        <v>265650</v>
      </c>
      <c r="AC18" s="94">
        <v>2520010.7199999997</v>
      </c>
      <c r="AD18" s="94">
        <f>AC18-AC17</f>
        <v>265650</v>
      </c>
      <c r="AE18" s="94">
        <v>4383225</v>
      </c>
      <c r="AF18" s="218">
        <f>AC19-AC15</f>
        <v>-2064283.6399999997</v>
      </c>
      <c r="AG18">
        <f>AA19-AA15</f>
        <v>730537.50000000047</v>
      </c>
    </row>
    <row r="19" spans="1:33" ht="15.6">
      <c r="A19" s="151">
        <v>46133</v>
      </c>
      <c r="B19" s="144"/>
      <c r="C19" s="87">
        <v>6641250</v>
      </c>
      <c r="D19" s="87">
        <v>4811400</v>
      </c>
      <c r="E19" s="146">
        <v>1848</v>
      </c>
      <c r="F19" s="148">
        <f>'Current Effort - Consultation'!AP31</f>
        <v>136.875</v>
      </c>
      <c r="G19" s="87">
        <f>'Current Effort - Consultation'!AR31</f>
        <v>1682.0833333333335</v>
      </c>
      <c r="H19" s="156">
        <v>0.69</v>
      </c>
      <c r="I19" s="202">
        <f>'Current Effort - Consultation'!N34</f>
        <v>4182152.7691406254</v>
      </c>
      <c r="J19" s="155"/>
      <c r="K19" s="203">
        <f>J19+G19</f>
        <v>1682.0833333333335</v>
      </c>
      <c r="L19" s="132">
        <f>(G19/E19)/H19-100%</f>
        <v>0.31915688980906398</v>
      </c>
      <c r="M19" s="181">
        <f>H19*C19</f>
        <v>4582462.5</v>
      </c>
      <c r="N19" s="88">
        <f>J19*'Current Effort - Consultation'!$N$35</f>
        <v>0</v>
      </c>
      <c r="O19" s="159">
        <f>N19+I19</f>
        <v>4182152.7691406254</v>
      </c>
      <c r="P19" s="182">
        <f>D19/O19</f>
        <v>1.150460125584718</v>
      </c>
      <c r="Q19" s="158">
        <f>'Budget - Consultation'!$I$15-O19</f>
        <v>629247.23085937463</v>
      </c>
      <c r="R19" s="90">
        <f>Q19/'Budget - Consultation'!$I$16</f>
        <v>9.4748312570581542E-2</v>
      </c>
      <c r="S19" s="114"/>
      <c r="T19" s="89">
        <f>'Budget - Consultation'!$I$16-O19</f>
        <v>2459097.2308593746</v>
      </c>
      <c r="U19" s="161">
        <f>'Budget - Consultation'!$E$19</f>
        <v>0.27552795031055899</v>
      </c>
      <c r="V19" s="162">
        <f>T19/'Budget - Consultation'!$I$16</f>
        <v>0.37027626288114052</v>
      </c>
      <c r="W19" s="158">
        <f>T19-'Budget - Consultation'!$I$17</f>
        <v>629247.23085937463</v>
      </c>
      <c r="X19" s="161">
        <f>V19-'Budget - Consultation'!$I$18</f>
        <v>9.4748312570581528E-2</v>
      </c>
      <c r="Y19" s="204">
        <f>931607.14+931607.14+1863214</f>
        <v>3726428.2800000003</v>
      </c>
      <c r="Z19" s="93">
        <f>I19/O19</f>
        <v>1</v>
      </c>
      <c r="AA19" s="94">
        <f>C19*H19</f>
        <v>4582462.5</v>
      </c>
      <c r="AB19" s="94">
        <f>AA19-AA18</f>
        <v>199237.5</v>
      </c>
      <c r="AC19" s="94">
        <f>AA19-Y19</f>
        <v>856034.21999999974</v>
      </c>
      <c r="AD19" s="94">
        <f>AC19-AC18</f>
        <v>-1663976.5</v>
      </c>
      <c r="AE19" s="94">
        <f>AC19+Y19</f>
        <v>4582462.5</v>
      </c>
      <c r="AF19" s="218"/>
    </row>
    <row r="20" spans="1:33" ht="15.6">
      <c r="A20" s="151"/>
      <c r="B20" s="144"/>
      <c r="C20" s="152"/>
      <c r="D20" s="152"/>
      <c r="E20" s="153"/>
      <c r="F20" s="157"/>
      <c r="G20" s="215"/>
      <c r="H20" s="152"/>
      <c r="I20" s="152"/>
      <c r="J20" s="152"/>
      <c r="K20" s="91"/>
      <c r="L20" s="91"/>
      <c r="M20" s="94"/>
      <c r="N20" s="91"/>
      <c r="O20" s="147"/>
      <c r="P20" s="183"/>
      <c r="Q20" s="144"/>
      <c r="R20" s="91"/>
      <c r="S20" s="114"/>
      <c r="T20" s="91"/>
      <c r="U20" s="142"/>
      <c r="V20" s="147"/>
      <c r="W20" s="144"/>
      <c r="X20" s="147"/>
      <c r="Y20" s="144"/>
      <c r="Z20" s="91"/>
      <c r="AA20" s="94"/>
      <c r="AB20" s="91"/>
      <c r="AC20" s="91"/>
      <c r="AD20" s="91"/>
      <c r="AE20" s="91"/>
    </row>
    <row r="21" spans="1:33" ht="15.6">
      <c r="A21" s="151"/>
      <c r="B21" s="142"/>
      <c r="C21" s="154"/>
      <c r="D21" s="152"/>
      <c r="E21" s="153"/>
      <c r="F21" s="157"/>
      <c r="G21" s="152"/>
      <c r="H21" s="152"/>
      <c r="I21" s="152"/>
      <c r="J21" s="152"/>
      <c r="K21" s="91"/>
      <c r="L21" s="91"/>
      <c r="M21" s="94"/>
      <c r="N21" s="91"/>
      <c r="O21" s="142"/>
      <c r="P21" s="183"/>
      <c r="Q21" s="144"/>
      <c r="R21" s="91"/>
      <c r="S21" s="114"/>
      <c r="T21" s="89"/>
      <c r="U21" s="217"/>
      <c r="V21" s="147"/>
      <c r="W21" s="144"/>
      <c r="X21" s="147"/>
      <c r="Y21" s="144"/>
      <c r="Z21" s="91"/>
      <c r="AA21" s="91"/>
      <c r="AB21" s="91"/>
      <c r="AC21" s="91"/>
      <c r="AD21" s="91"/>
      <c r="AE21" s="91"/>
    </row>
    <row r="22" spans="1:33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4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</row>
    <row r="23" spans="1:33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</row>
    <row r="24" spans="1:33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</row>
    <row r="25" spans="1:33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</row>
    <row r="26" spans="1:33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</row>
    <row r="27" spans="1:33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</row>
  </sheetData>
  <mergeCells count="15">
    <mergeCell ref="G4:H4"/>
    <mergeCell ref="G1:H1"/>
    <mergeCell ref="C4:E4"/>
    <mergeCell ref="K2:N3"/>
    <mergeCell ref="C1:E1"/>
    <mergeCell ref="C2:E2"/>
    <mergeCell ref="C3:E3"/>
    <mergeCell ref="G2:H2"/>
    <mergeCell ref="G3:H3"/>
    <mergeCell ref="T5:V5"/>
    <mergeCell ref="W5:X5"/>
    <mergeCell ref="Y5:AD5"/>
    <mergeCell ref="C5:E5"/>
    <mergeCell ref="F5:O5"/>
    <mergeCell ref="P5:R5"/>
  </mergeCells>
  <conditionalFormatting sqref="Q8:Q19 T8:U19 W8:Y19">
    <cfRule type="cellIs" dxfId="86" priority="24" operator="lessThan">
      <formula>0</formula>
    </cfRule>
    <cfRule type="cellIs" dxfId="85" priority="25" operator="greaterThan">
      <formula>0</formula>
    </cfRule>
  </conditionalFormatting>
  <conditionalFormatting sqref="R8:S8 V8:V19 S9 R9:R19">
    <cfRule type="cellIs" dxfId="84" priority="23" operator="lessThan">
      <formula>0</formula>
    </cfRule>
  </conditionalFormatting>
  <conditionalFormatting sqref="T21">
    <cfRule type="cellIs" dxfId="83" priority="1" operator="lessThan">
      <formula>0</formula>
    </cfRule>
    <cfRule type="cellIs" dxfId="82" priority="2" operator="greater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30"/>
  <sheetViews>
    <sheetView showGridLines="0" zoomScaleNormal="85" workbookViewId="0">
      <selection activeCell="D30" sqref="D30"/>
    </sheetView>
  </sheetViews>
  <sheetFormatPr defaultColWidth="9.375" defaultRowHeight="14.1"/>
  <cols>
    <col min="3" max="3" width="26.375" customWidth="1"/>
    <col min="4" max="4" width="62.375" customWidth="1"/>
  </cols>
  <sheetData>
    <row r="2" spans="2:18" ht="15.6">
      <c r="B2" s="16" t="s">
        <v>175</v>
      </c>
    </row>
    <row r="3" spans="2:18" ht="18">
      <c r="B3" s="17"/>
    </row>
    <row r="4" spans="2:18" ht="18">
      <c r="B4" s="17"/>
    </row>
    <row r="5" spans="2:18" ht="15" customHeight="1">
      <c r="B5" s="274"/>
      <c r="C5" s="274"/>
      <c r="D5" s="274"/>
      <c r="E5" s="274"/>
      <c r="F5" s="274"/>
      <c r="G5" s="18"/>
      <c r="I5" s="274"/>
      <c r="J5" s="274"/>
      <c r="K5" s="274"/>
      <c r="L5" s="274"/>
      <c r="M5" s="274"/>
      <c r="O5" s="274"/>
      <c r="P5" s="274"/>
      <c r="Q5" s="274"/>
      <c r="R5" s="274"/>
    </row>
    <row r="6" spans="2:18">
      <c r="B6" s="274"/>
      <c r="C6" s="274"/>
      <c r="D6" s="274"/>
      <c r="E6" s="274"/>
      <c r="F6" s="274"/>
      <c r="G6" s="18"/>
      <c r="I6" s="274"/>
      <c r="J6" s="274"/>
      <c r="K6" s="274"/>
      <c r="L6" s="274"/>
      <c r="M6" s="274"/>
      <c r="O6" s="274"/>
      <c r="P6" s="274"/>
      <c r="Q6" s="274"/>
      <c r="R6" s="274"/>
    </row>
    <row r="7" spans="2:18">
      <c r="B7" s="274"/>
      <c r="C7" s="274"/>
      <c r="D7" s="274"/>
      <c r="E7" s="274"/>
      <c r="F7" s="274"/>
      <c r="G7" s="18"/>
      <c r="I7" s="274"/>
      <c r="J7" s="274"/>
      <c r="K7" s="274"/>
      <c r="L7" s="274"/>
      <c r="M7" s="274"/>
      <c r="O7" s="274"/>
      <c r="P7" s="274"/>
      <c r="Q7" s="274"/>
      <c r="R7" s="274"/>
    </row>
    <row r="8" spans="2:18">
      <c r="B8" s="274"/>
      <c r="C8" s="274"/>
      <c r="D8" s="274"/>
      <c r="E8" s="274"/>
      <c r="F8" s="274"/>
      <c r="G8" s="18"/>
      <c r="I8" s="274"/>
      <c r="J8" s="274"/>
      <c r="K8" s="274"/>
      <c r="L8" s="274"/>
      <c r="M8" s="274"/>
      <c r="O8" s="274"/>
      <c r="P8" s="274"/>
      <c r="Q8" s="274"/>
      <c r="R8" s="274"/>
    </row>
    <row r="9" spans="2:18">
      <c r="B9" s="274"/>
      <c r="C9" s="274"/>
      <c r="D9" s="274"/>
      <c r="E9" s="274"/>
      <c r="F9" s="274"/>
      <c r="G9" s="18"/>
      <c r="I9" s="274"/>
      <c r="J9" s="274"/>
      <c r="K9" s="274"/>
      <c r="L9" s="274"/>
      <c r="M9" s="274"/>
      <c r="O9" s="274"/>
      <c r="P9" s="274"/>
      <c r="Q9" s="274"/>
      <c r="R9" s="274"/>
    </row>
    <row r="10" spans="2:18">
      <c r="B10" s="274"/>
      <c r="C10" s="274"/>
      <c r="D10" s="274"/>
      <c r="E10" s="274"/>
      <c r="F10" s="274"/>
      <c r="G10" s="19"/>
      <c r="O10" s="20"/>
      <c r="P10" s="20"/>
      <c r="Q10" s="20"/>
    </row>
    <row r="11" spans="2:18" ht="15.6">
      <c r="B11" s="56" t="s">
        <v>36</v>
      </c>
      <c r="C11" s="56" t="s">
        <v>176</v>
      </c>
      <c r="D11" s="56" t="s">
        <v>177</v>
      </c>
    </row>
    <row r="12" spans="2:18" ht="30.75" customHeight="1">
      <c r="B12" s="53" t="s">
        <v>178</v>
      </c>
      <c r="C12" s="54" t="s">
        <v>17</v>
      </c>
      <c r="D12" s="55" t="s">
        <v>179</v>
      </c>
    </row>
    <row r="13" spans="2:18" ht="42">
      <c r="B13" s="53" t="s">
        <v>180</v>
      </c>
      <c r="C13" s="54" t="s">
        <v>22</v>
      </c>
      <c r="D13" s="55" t="s">
        <v>181</v>
      </c>
    </row>
    <row r="14" spans="2:18" ht="30.75" customHeight="1">
      <c r="B14" s="53" t="s">
        <v>182</v>
      </c>
      <c r="C14" s="54" t="s">
        <v>25</v>
      </c>
      <c r="D14" s="55" t="s">
        <v>183</v>
      </c>
    </row>
    <row r="15" spans="2:18" ht="30.75" customHeight="1">
      <c r="B15" s="53" t="s">
        <v>184</v>
      </c>
      <c r="C15" s="54" t="s">
        <v>28</v>
      </c>
      <c r="D15" s="55" t="s">
        <v>185</v>
      </c>
    </row>
    <row r="16" spans="2:18" ht="30.75" customHeight="1">
      <c r="B16" s="53" t="s">
        <v>186</v>
      </c>
      <c r="C16" s="54" t="s">
        <v>29</v>
      </c>
      <c r="D16" s="55" t="s">
        <v>187</v>
      </c>
    </row>
    <row r="17" spans="2:4" ht="30.75" customHeight="1">
      <c r="B17" s="53" t="s">
        <v>188</v>
      </c>
      <c r="C17" s="54" t="s">
        <v>31</v>
      </c>
      <c r="D17" s="55" t="s">
        <v>189</v>
      </c>
    </row>
    <row r="18" spans="2:4" ht="30.75" customHeight="1">
      <c r="B18" s="53" t="s">
        <v>190</v>
      </c>
      <c r="C18" s="54" t="s">
        <v>69</v>
      </c>
      <c r="D18" s="55" t="s">
        <v>191</v>
      </c>
    </row>
    <row r="19" spans="2:4" ht="30.75" customHeight="1">
      <c r="B19" s="53" t="s">
        <v>192</v>
      </c>
      <c r="C19" s="54" t="s">
        <v>70</v>
      </c>
      <c r="D19" s="55" t="s">
        <v>193</v>
      </c>
    </row>
    <row r="20" spans="2:4" ht="30.75" customHeight="1">
      <c r="B20" s="53" t="s">
        <v>194</v>
      </c>
      <c r="C20" s="54" t="s">
        <v>74</v>
      </c>
      <c r="D20" s="55" t="s">
        <v>195</v>
      </c>
    </row>
    <row r="21" spans="2:4" ht="30.75" customHeight="1">
      <c r="B21" s="53" t="s">
        <v>196</v>
      </c>
      <c r="C21" s="54" t="s">
        <v>75</v>
      </c>
      <c r="D21" s="55" t="s">
        <v>197</v>
      </c>
    </row>
    <row r="22" spans="2:4" ht="30.75" customHeight="1">
      <c r="B22" s="53" t="s">
        <v>198</v>
      </c>
      <c r="C22" s="54" t="s">
        <v>77</v>
      </c>
      <c r="D22" s="55" t="s">
        <v>199</v>
      </c>
    </row>
    <row r="23" spans="2:4" ht="30.75" customHeight="1">
      <c r="B23" s="53" t="s">
        <v>200</v>
      </c>
      <c r="C23" s="54" t="s">
        <v>78</v>
      </c>
      <c r="D23" s="55" t="s">
        <v>201</v>
      </c>
    </row>
    <row r="24" spans="2:4" ht="30.75" customHeight="1">
      <c r="B24" s="53" t="s">
        <v>202</v>
      </c>
      <c r="C24" s="54" t="s">
        <v>79</v>
      </c>
      <c r="D24" s="55" t="s">
        <v>203</v>
      </c>
    </row>
    <row r="25" spans="2:4" ht="30.75" customHeight="1">
      <c r="B25" s="53" t="s">
        <v>204</v>
      </c>
      <c r="C25" s="54" t="s">
        <v>81</v>
      </c>
      <c r="D25" s="55" t="s">
        <v>205</v>
      </c>
    </row>
    <row r="26" spans="2:4" ht="30.75" customHeight="1">
      <c r="B26" s="53" t="s">
        <v>206</v>
      </c>
      <c r="C26" s="54" t="s">
        <v>82</v>
      </c>
      <c r="D26" s="55" t="s">
        <v>207</v>
      </c>
    </row>
    <row r="27" spans="2:4" ht="30.75" customHeight="1">
      <c r="B27" s="53" t="s">
        <v>208</v>
      </c>
      <c r="C27" s="54" t="s">
        <v>83</v>
      </c>
      <c r="D27" s="55" t="s">
        <v>209</v>
      </c>
    </row>
    <row r="28" spans="2:4">
      <c r="B28" s="53" t="s">
        <v>210</v>
      </c>
      <c r="C28" s="54" t="s">
        <v>211</v>
      </c>
      <c r="D28" s="55" t="s">
        <v>212</v>
      </c>
    </row>
    <row r="29" spans="2:4" ht="27.95">
      <c r="B29" s="53" t="s">
        <v>213</v>
      </c>
      <c r="C29" s="54" t="s">
        <v>85</v>
      </c>
      <c r="D29" s="55" t="s">
        <v>214</v>
      </c>
    </row>
    <row r="30" spans="2:4" ht="42">
      <c r="B30" s="53" t="s">
        <v>215</v>
      </c>
      <c r="C30" s="54" t="s">
        <v>216</v>
      </c>
      <c r="D30" s="55" t="s">
        <v>217</v>
      </c>
    </row>
  </sheetData>
  <mergeCells count="3">
    <mergeCell ref="B5:F10"/>
    <mergeCell ref="I5:M9"/>
    <mergeCell ref="O5:R9"/>
  </mergeCells>
  <phoneticPr fontId="28" type="noConversion"/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"/>
  <sheetViews>
    <sheetView showGridLines="0" zoomScaleNormal="100" workbookViewId="0">
      <selection activeCell="C15" sqref="C15"/>
    </sheetView>
  </sheetViews>
  <sheetFormatPr defaultColWidth="9.375" defaultRowHeight="14.1"/>
  <cols>
    <col min="1" max="1" width="26.375" customWidth="1"/>
    <col min="2" max="2" width="22.375" customWidth="1"/>
    <col min="3" max="3" width="16" customWidth="1"/>
    <col min="4" max="4" width="19.375" bestFit="1" customWidth="1"/>
    <col min="5" max="6" width="19.375" customWidth="1"/>
    <col min="7" max="7" width="19" customWidth="1"/>
    <col min="8" max="8" width="12.375" customWidth="1"/>
    <col min="9" max="9" width="11.375" customWidth="1"/>
  </cols>
  <sheetData>
    <row r="1" spans="1:9" ht="15.6">
      <c r="A1" s="48" t="s">
        <v>218</v>
      </c>
    </row>
    <row r="2" spans="1:9" ht="18">
      <c r="A2" s="275" t="s">
        <v>219</v>
      </c>
      <c r="B2" s="275"/>
      <c r="C2" s="275"/>
      <c r="D2" s="275"/>
      <c r="E2" s="275"/>
      <c r="F2" s="275"/>
      <c r="G2" s="275"/>
      <c r="H2" s="275"/>
    </row>
    <row r="3" spans="1:9" ht="34.5" thickBot="1">
      <c r="A3" s="22" t="s">
        <v>116</v>
      </c>
      <c r="B3" s="22" t="s">
        <v>117</v>
      </c>
      <c r="C3" s="21" t="s">
        <v>118</v>
      </c>
      <c r="D3" s="38" t="s">
        <v>220</v>
      </c>
      <c r="E3" s="21" t="s">
        <v>221</v>
      </c>
      <c r="F3" s="38" t="s">
        <v>222</v>
      </c>
      <c r="G3" s="22" t="s">
        <v>123</v>
      </c>
      <c r="H3" s="38" t="s">
        <v>223</v>
      </c>
      <c r="I3" s="42" t="s">
        <v>224</v>
      </c>
    </row>
    <row r="4" spans="1:9" ht="15" thickTop="1">
      <c r="A4" t="s">
        <v>225</v>
      </c>
      <c r="B4" s="4" t="s">
        <v>158</v>
      </c>
      <c r="C4" s="23">
        <f>VLOOKUP(B:B,Positions!A:B,2,0)</f>
        <v>72.5</v>
      </c>
      <c r="D4" s="24">
        <f>22*8</f>
        <v>176</v>
      </c>
      <c r="E4" s="25">
        <f>19+Table_6710[[#This Row],[Hour Rate ($)]]</f>
        <v>91.5</v>
      </c>
      <c r="F4" s="24"/>
      <c r="G4" s="26">
        <f>D4*C4+Table_6710[[#This Row],[Onsite Rate ($)]]*Table_6710[[#This Row],[Actual Time Onsite (MH)]]</f>
        <v>12760</v>
      </c>
      <c r="H4" s="26">
        <f>Table_6710[[#This Row],[Total Cost]]*8</f>
        <v>102080</v>
      </c>
      <c r="I4" s="43">
        <f>(Table_6710[[#This Row],[Actual Time (MH)]]*8)/8</f>
        <v>176</v>
      </c>
    </row>
    <row r="5" spans="1:9" ht="14.45">
      <c r="A5" s="2" t="s">
        <v>226</v>
      </c>
      <c r="B5" s="4" t="s">
        <v>136</v>
      </c>
      <c r="C5" s="23">
        <f>VLOOKUP(B:B,Positions!A:B,2,0)</f>
        <v>22.375</v>
      </c>
      <c r="D5" s="24">
        <f>22*8</f>
        <v>176</v>
      </c>
      <c r="E5" s="25">
        <f>19+Table_6710[[#This Row],[Hour Rate ($)]]</f>
        <v>41.375</v>
      </c>
      <c r="F5" s="24"/>
      <c r="G5" s="26">
        <f>D5*C5+Table_6710[[#This Row],[Onsite Rate ($)]]*Table_6710[[#This Row],[Actual Time Onsite (MH)]]</f>
        <v>3938</v>
      </c>
      <c r="H5" s="26">
        <f>Table_6710[[#This Row],[Total Cost]]*4</f>
        <v>15752</v>
      </c>
      <c r="I5" s="43">
        <f>(Table_6710[[#This Row],[Actual Time (MH)]]*4)/8</f>
        <v>88</v>
      </c>
    </row>
    <row r="6" spans="1:9" ht="14.45">
      <c r="A6" s="2" t="s">
        <v>164</v>
      </c>
      <c r="B6" s="4" t="s">
        <v>126</v>
      </c>
      <c r="C6" s="23">
        <f>VLOOKUP(B:B,Positions!A:B,2,0)</f>
        <v>78.25</v>
      </c>
      <c r="D6" s="24">
        <f t="shared" ref="D6:D17" si="0">22*8</f>
        <v>176</v>
      </c>
      <c r="E6" s="25">
        <f>19+Table_6710[[#This Row],[Hour Rate ($)]]</f>
        <v>97.25</v>
      </c>
      <c r="F6" s="24"/>
      <c r="G6" s="26">
        <f>D6*C6+Table_6710[[#This Row],[Onsite Rate ($)]]*Table_6710[[#This Row],[Actual Time Onsite (MH)]]</f>
        <v>13772</v>
      </c>
      <c r="H6" s="26">
        <f>Table_6710[[#This Row],[Total Cost]]*9</f>
        <v>123948</v>
      </c>
      <c r="I6" s="43">
        <f>(Table_6710[[#This Row],[Actual Time (MH)]]*9)/8</f>
        <v>198</v>
      </c>
    </row>
    <row r="7" spans="1:9" ht="14.45">
      <c r="A7" s="2" t="s">
        <v>227</v>
      </c>
      <c r="B7" s="4" t="s">
        <v>228</v>
      </c>
      <c r="C7" s="23">
        <f>VLOOKUP(B:B,Positions!A:B,2,0)</f>
        <v>96.75</v>
      </c>
      <c r="D7" s="24">
        <f t="shared" si="0"/>
        <v>176</v>
      </c>
      <c r="E7" s="25">
        <f>19+Table_6710[[#This Row],[Hour Rate ($)]]</f>
        <v>115.75</v>
      </c>
      <c r="F7" s="24"/>
      <c r="G7" s="26">
        <f>D7*C7+Table_6710[[#This Row],[Onsite Rate ($)]]*Table_6710[[#This Row],[Actual Time Onsite (MH)]]</f>
        <v>17028</v>
      </c>
      <c r="H7" s="26">
        <f>Table_6710[[#This Row],[Total Cost]]</f>
        <v>17028</v>
      </c>
      <c r="I7" s="43">
        <f>(Table_6710[[#This Row],[Actual Time (MH)]])/8</f>
        <v>22</v>
      </c>
    </row>
    <row r="8" spans="1:9" ht="14.45">
      <c r="A8" t="s">
        <v>229</v>
      </c>
      <c r="B8" s="4" t="s">
        <v>230</v>
      </c>
      <c r="C8" s="23">
        <f>VLOOKUP(B:B,Positions!A:B,2,0)</f>
        <v>70.25</v>
      </c>
      <c r="D8" s="24">
        <f t="shared" si="0"/>
        <v>176</v>
      </c>
      <c r="E8" s="25">
        <f>19+Table_6710[[#This Row],[Hour Rate ($)]]</f>
        <v>89.25</v>
      </c>
      <c r="F8" s="24"/>
      <c r="G8" s="26">
        <f>D8*C8+Table_6710[[#This Row],[Onsite Rate ($)]]*Table_6710[[#This Row],[Actual Time Onsite (MH)]]</f>
        <v>12364</v>
      </c>
      <c r="H8" s="26">
        <f>Table_6710[[#This Row],[Total Cost]]*8</f>
        <v>98912</v>
      </c>
      <c r="I8" s="43">
        <f>(Table_6710[[#This Row],[Actual Time (MH)]]*8)/8</f>
        <v>176</v>
      </c>
    </row>
    <row r="9" spans="1:9" ht="14.45">
      <c r="A9" t="s">
        <v>231</v>
      </c>
      <c r="B9" s="4" t="s">
        <v>230</v>
      </c>
      <c r="C9" s="23">
        <f>VLOOKUP(B:B,Positions!A:B,2,0)</f>
        <v>70.25</v>
      </c>
      <c r="D9" s="24">
        <f t="shared" si="0"/>
        <v>176</v>
      </c>
      <c r="E9" s="25">
        <f>19+Table_6710[[#This Row],[Hour Rate ($)]]</f>
        <v>89.25</v>
      </c>
      <c r="F9" s="24"/>
      <c r="G9" s="26">
        <f>D9*C9+Table_6710[[#This Row],[Onsite Rate ($)]]*Table_6710[[#This Row],[Actual Time Onsite (MH)]]</f>
        <v>12364</v>
      </c>
      <c r="H9" s="26">
        <f>Table_6710[[#This Row],[Total Cost]]*7</f>
        <v>86548</v>
      </c>
      <c r="I9" s="43">
        <f>(Table_6710[[#This Row],[Actual Time (MH)]]*7)/8</f>
        <v>154</v>
      </c>
    </row>
    <row r="10" spans="1:9" ht="14.45">
      <c r="A10" t="s">
        <v>232</v>
      </c>
      <c r="B10" s="4" t="s">
        <v>233</v>
      </c>
      <c r="C10" s="23">
        <f>VLOOKUP(B:B,Positions!A:B,2,0)</f>
        <v>20</v>
      </c>
      <c r="D10" s="24">
        <f t="shared" si="0"/>
        <v>176</v>
      </c>
      <c r="E10" s="25">
        <f>19+Table_6710[[#This Row],[Hour Rate ($)]]</f>
        <v>39</v>
      </c>
      <c r="F10" s="24"/>
      <c r="G10" s="26">
        <f>D10*C10+Table_6710[[#This Row],[Onsite Rate ($)]]*Table_6710[[#This Row],[Actual Time Onsite (MH)]]</f>
        <v>3520</v>
      </c>
      <c r="H10" s="26">
        <f>Table_6710[[#This Row],[Total Cost]]*7</f>
        <v>24640</v>
      </c>
      <c r="I10" s="43">
        <f>(Table_6710[[#This Row],[Actual Time (MH)]]*7)/8</f>
        <v>154</v>
      </c>
    </row>
    <row r="11" spans="1:9" ht="14.45">
      <c r="A11" t="s">
        <v>234</v>
      </c>
      <c r="B11" s="4" t="s">
        <v>233</v>
      </c>
      <c r="C11" s="23">
        <f>VLOOKUP(B:B,Positions!A:B,2,0)</f>
        <v>20</v>
      </c>
      <c r="D11" s="24">
        <f t="shared" si="0"/>
        <v>176</v>
      </c>
      <c r="E11" s="25">
        <f>19+Table_6710[[#This Row],[Hour Rate ($)]]</f>
        <v>39</v>
      </c>
      <c r="F11" s="24"/>
      <c r="G11" s="26">
        <f>D11*C11+Table_6710[[#This Row],[Onsite Rate ($)]]*Table_6710[[#This Row],[Actual Time Onsite (MH)]]</f>
        <v>3520</v>
      </c>
      <c r="H11" s="26">
        <f>Table_6710[[#This Row],[Total Cost]]*8</f>
        <v>28160</v>
      </c>
      <c r="I11" s="43">
        <f>(Table_6710[[#This Row],[Actual Time (MH)]]*8)/8</f>
        <v>176</v>
      </c>
    </row>
    <row r="12" spans="1:9" ht="14.45">
      <c r="A12" t="s">
        <v>235</v>
      </c>
      <c r="B12" s="4" t="s">
        <v>233</v>
      </c>
      <c r="C12" s="23">
        <f>VLOOKUP(B:B,Positions!A:B,2,0)</f>
        <v>20</v>
      </c>
      <c r="D12" s="24">
        <f t="shared" si="0"/>
        <v>176</v>
      </c>
      <c r="E12" s="25">
        <f>19+Table_6710[[#This Row],[Hour Rate ($)]]</f>
        <v>39</v>
      </c>
      <c r="F12" s="24"/>
      <c r="G12" s="26">
        <f>D12*C12+Table_6710[[#This Row],[Onsite Rate ($)]]*Table_6710[[#This Row],[Actual Time Onsite (MH)]]</f>
        <v>3520</v>
      </c>
      <c r="H12" s="26">
        <f>Table_6710[[#This Row],[Total Cost]]*6</f>
        <v>21120</v>
      </c>
      <c r="I12" s="43">
        <f>(Table_6710[[#This Row],[Actual Time (MH)]]*6)/8</f>
        <v>132</v>
      </c>
    </row>
    <row r="13" spans="1:9" ht="14.45">
      <c r="A13" t="s">
        <v>236</v>
      </c>
      <c r="B13" s="4" t="s">
        <v>130</v>
      </c>
      <c r="C13" s="23">
        <f>VLOOKUP(B:B,Positions!A:B,2,0)</f>
        <v>17.625</v>
      </c>
      <c r="D13" s="24">
        <f t="shared" si="0"/>
        <v>176</v>
      </c>
      <c r="E13" s="25">
        <f>19+Table_6710[[#This Row],[Hour Rate ($)]]</f>
        <v>36.625</v>
      </c>
      <c r="F13" s="24"/>
      <c r="G13" s="26">
        <f>D13*C13+Table_6710[[#This Row],[Onsite Rate ($)]]*Table_6710[[#This Row],[Actual Time Onsite (MH)]]</f>
        <v>3102</v>
      </c>
      <c r="H13" s="26">
        <f>Table_6710[[#This Row],[Total Cost]]*7</f>
        <v>21714</v>
      </c>
      <c r="I13" s="43">
        <f>(Table_6710[[#This Row],[Actual Time (MH)]]*7)/8</f>
        <v>154</v>
      </c>
    </row>
    <row r="14" spans="1:9" ht="14.45">
      <c r="A14" t="s">
        <v>237</v>
      </c>
      <c r="B14" s="4" t="s">
        <v>130</v>
      </c>
      <c r="C14" s="23">
        <f>VLOOKUP(B:B,Positions!A:B,2,0)</f>
        <v>17.625</v>
      </c>
      <c r="D14" s="24">
        <f t="shared" si="0"/>
        <v>176</v>
      </c>
      <c r="E14" s="25">
        <f>19+Table_6710[[#This Row],[Hour Rate ($)]]</f>
        <v>36.625</v>
      </c>
      <c r="F14" s="24"/>
      <c r="G14" s="26">
        <f>D14*C14+Table_6710[[#This Row],[Onsite Rate ($)]]*Table_6710[[#This Row],[Actual Time Onsite (MH)]]</f>
        <v>3102</v>
      </c>
      <c r="H14" s="26">
        <f>Table_6710[[#This Row],[Total Cost]]*5</f>
        <v>15510</v>
      </c>
      <c r="I14" s="43">
        <f>(Table_6710[[#This Row],[Actual Time (MH)]]*5)/8</f>
        <v>110</v>
      </c>
    </row>
    <row r="15" spans="1:9" ht="14.45">
      <c r="A15" t="s">
        <v>238</v>
      </c>
      <c r="B15" s="4" t="s">
        <v>130</v>
      </c>
      <c r="C15" s="23">
        <f>VLOOKUP(B:B,Positions!A:B,2,0)</f>
        <v>17.625</v>
      </c>
      <c r="D15" s="24">
        <v>176</v>
      </c>
      <c r="E15" s="25">
        <f>19+Table_6710[[#This Row],[Hour Rate ($)]]</f>
        <v>36.625</v>
      </c>
      <c r="F15" s="24"/>
      <c r="G15" s="26">
        <f>D15*C15+Table_6710[[#This Row],[Onsite Rate ($)]]*Table_6710[[#This Row],[Actual Time Onsite (MH)]]</f>
        <v>3102</v>
      </c>
      <c r="H15" s="26">
        <f>Table_6710[[#This Row],[Total Cost]]*4</f>
        <v>12408</v>
      </c>
      <c r="I15" s="43">
        <f>(Table_6710[[#This Row],[Actual Time (MH)]]*6)/8</f>
        <v>132</v>
      </c>
    </row>
    <row r="16" spans="1:9" ht="14.45">
      <c r="A16" t="s">
        <v>239</v>
      </c>
      <c r="B16" s="4" t="s">
        <v>130</v>
      </c>
      <c r="C16" s="23">
        <f>VLOOKUP(B:B,Positions!A:B,2,0)</f>
        <v>17.625</v>
      </c>
      <c r="D16" s="24">
        <f t="shared" si="0"/>
        <v>176</v>
      </c>
      <c r="E16" s="25">
        <f>19+Table_6710[[#This Row],[Hour Rate ($)]]</f>
        <v>36.625</v>
      </c>
      <c r="F16" s="24"/>
      <c r="G16" s="26">
        <f>D16*C16+Table_6710[[#This Row],[Onsite Rate ($)]]*Table_6710[[#This Row],[Actual Time Onsite (MH)]]</f>
        <v>3102</v>
      </c>
      <c r="H16" s="26">
        <f>Table_6710[[#This Row],[Total Cost]]*6</f>
        <v>18612</v>
      </c>
      <c r="I16" s="43">
        <f>(Table_6710[[#This Row],[Actual Time (MH)]]*4)/8</f>
        <v>88</v>
      </c>
    </row>
    <row r="17" spans="1:9" ht="15" customHeight="1">
      <c r="A17" t="s">
        <v>240</v>
      </c>
      <c r="B17" s="4" t="s">
        <v>241</v>
      </c>
      <c r="C17" s="23">
        <f>VLOOKUP(B:B,Positions!A:B,2,0)</f>
        <v>19</v>
      </c>
      <c r="D17" s="24">
        <f t="shared" si="0"/>
        <v>176</v>
      </c>
      <c r="E17" s="25">
        <f>19+Table_6710[[#This Row],[Hour Rate ($)]]</f>
        <v>38</v>
      </c>
      <c r="F17" s="24"/>
      <c r="G17" s="26">
        <f>D17*C17+Table_6710[[#This Row],[Onsite Rate ($)]]*Table_6710[[#This Row],[Actual Time Onsite (MH)]]</f>
        <v>3344</v>
      </c>
      <c r="H17" s="26">
        <f>Table_6710[[#This Row],[Total Cost]]*8</f>
        <v>26752</v>
      </c>
      <c r="I17" s="43">
        <f>(Table_6710[[#This Row],[Actual Time (MH)]]*8)/8</f>
        <v>176</v>
      </c>
    </row>
    <row r="18" spans="1:9" ht="15" customHeight="1">
      <c r="A18" s="2" t="s">
        <v>242</v>
      </c>
      <c r="B18" s="4" t="s">
        <v>243</v>
      </c>
      <c r="C18" s="23">
        <f>VLOOKUP(B:B,Positions!A:B,2,0)</f>
        <v>14.25</v>
      </c>
      <c r="D18" s="24">
        <f>22*8</f>
        <v>176</v>
      </c>
      <c r="E18" s="25">
        <f>19+Table_6710[[#This Row],[Hour Rate ($)]]</f>
        <v>33.25</v>
      </c>
      <c r="F18" s="24"/>
      <c r="G18" s="26">
        <f>D18*C18+Table_6710[[#This Row],[Onsite Rate ($)]]*Table_6710[[#This Row],[Actual Time Onsite (MH)]]</f>
        <v>2508</v>
      </c>
      <c r="H18" s="26">
        <f>Table_6710[[#This Row],[Total Cost]]*7</f>
        <v>17556</v>
      </c>
      <c r="I18" s="43">
        <f>(Table_6710[[#This Row],[Actual Time (MH)]]*7)/8</f>
        <v>154</v>
      </c>
    </row>
    <row r="19" spans="1:9" ht="15" customHeight="1">
      <c r="A19" s="2" t="s">
        <v>244</v>
      </c>
      <c r="B19" s="4" t="s">
        <v>243</v>
      </c>
      <c r="C19" s="23">
        <f>VLOOKUP(B:B,Positions!A:B,2,0)</f>
        <v>14.25</v>
      </c>
      <c r="D19" s="24">
        <f>22*8</f>
        <v>176</v>
      </c>
      <c r="E19" s="25">
        <f>19+Table_6710[[#This Row],[Hour Rate ($)]]</f>
        <v>33.25</v>
      </c>
      <c r="F19" s="24"/>
      <c r="G19" s="26">
        <f>D19*C19+Table_6710[[#This Row],[Onsite Rate ($)]]*Table_6710[[#This Row],[Actual Time Onsite (MH)]]</f>
        <v>2508</v>
      </c>
      <c r="H19" s="26">
        <f>Table_6710[[#This Row],[Total Cost]]*7</f>
        <v>17556</v>
      </c>
      <c r="I19" s="43">
        <f>(Table_6710[[#This Row],[Actual Time (MH)]]*7)/8</f>
        <v>154</v>
      </c>
    </row>
    <row r="20" spans="1:9" ht="15" customHeight="1">
      <c r="A20" s="2" t="s">
        <v>245</v>
      </c>
      <c r="B20" s="4" t="s">
        <v>128</v>
      </c>
      <c r="C20" s="23">
        <f>VLOOKUP(B:B,Positions!A:B,2,0)</f>
        <v>22.375</v>
      </c>
      <c r="D20" s="24">
        <f>22*8</f>
        <v>176</v>
      </c>
      <c r="E20" s="25">
        <f>19+Table_6710[[#This Row],[Hour Rate ($)]]</f>
        <v>41.375</v>
      </c>
      <c r="F20" s="24"/>
      <c r="G20" s="26">
        <f>D20*C20+Table_6710[[#This Row],[Onsite Rate ($)]]*Table_6710[[#This Row],[Actual Time Onsite (MH)]]</f>
        <v>3938</v>
      </c>
      <c r="H20" s="26">
        <f>Table_6710[[#This Row],[Total Cost]]*2</f>
        <v>7876</v>
      </c>
      <c r="I20" s="43">
        <f>(Table_6710[[#This Row],[Actual Time (MH)]]*2)/8</f>
        <v>44</v>
      </c>
    </row>
    <row r="21" spans="1:9" ht="15" customHeight="1">
      <c r="A21" t="s">
        <v>139</v>
      </c>
      <c r="B21" s="4" t="s">
        <v>246</v>
      </c>
      <c r="C21" s="23">
        <f>VLOOKUP(B:B,Positions!A:B,2,0)</f>
        <v>15.25</v>
      </c>
      <c r="D21" s="24">
        <v>176</v>
      </c>
      <c r="E21" s="25">
        <f>19+Table_6710[[#This Row],[Hour Rate ($)]]</f>
        <v>34.25</v>
      </c>
      <c r="G21" s="26">
        <f>D21*C21+Table_6710[[#This Row],[Onsite Rate ($)]]*Table_6710[[#This Row],[Actual Time Onsite (MH)]]</f>
        <v>2684</v>
      </c>
      <c r="H21" s="26">
        <f>Table_6710[[#This Row],[Total Cost]]*3</f>
        <v>8052</v>
      </c>
      <c r="I21" s="43">
        <f>(Table_6710[[#This Row],[Actual Time (MH)]]*4)/8</f>
        <v>88</v>
      </c>
    </row>
    <row r="22" spans="1:9" ht="15" customHeight="1">
      <c r="A22" s="71" t="s">
        <v>247</v>
      </c>
      <c r="B22" s="4" t="s">
        <v>128</v>
      </c>
      <c r="C22" s="23">
        <f>VLOOKUP(B:B,Positions!A:B,2,0)</f>
        <v>22.375</v>
      </c>
      <c r="D22" s="24">
        <f>22*8</f>
        <v>176</v>
      </c>
      <c r="E22" s="25">
        <f>19+Table_6710[[#This Row],[Hour Rate ($)]]</f>
        <v>41.375</v>
      </c>
      <c r="F22" s="24"/>
      <c r="G22" s="26">
        <f>D22*C22+Table_6710[[#This Row],[Onsite Rate ($)]]*Table_6710[[#This Row],[Actual Time Onsite (MH)]]</f>
        <v>3938</v>
      </c>
      <c r="H22" s="26">
        <f>Table_6710[[#This Row],[Total Cost]]*6</f>
        <v>23628</v>
      </c>
      <c r="I22" s="43">
        <f>(Table_6710[[#This Row],[Actual Time (MH)]]*6)/8</f>
        <v>132</v>
      </c>
    </row>
    <row r="23" spans="1:9" ht="14.45">
      <c r="C23" s="28"/>
      <c r="D23" s="2"/>
      <c r="E23" s="24"/>
      <c r="F23" s="24"/>
      <c r="G23" s="61"/>
      <c r="H23" s="61"/>
      <c r="I23" s="62">
        <f>SUBTOTAL(109,Table_6710[MD])</f>
        <v>2508</v>
      </c>
    </row>
    <row r="24" spans="1:9" ht="14.45">
      <c r="A24" s="272" t="s">
        <v>248</v>
      </c>
      <c r="B24" s="272"/>
      <c r="C24" s="28"/>
      <c r="D24" s="2"/>
      <c r="E24" s="2"/>
      <c r="F24" s="2"/>
    </row>
    <row r="25" spans="1:9" ht="14.45">
      <c r="A25" s="276"/>
      <c r="B25" s="276"/>
      <c r="D25" s="5" t="s">
        <v>249</v>
      </c>
      <c r="E25" s="5"/>
      <c r="F25" s="5"/>
      <c r="G25" s="72">
        <f>SUM(H4:H22)</f>
        <v>687852</v>
      </c>
      <c r="H25" s="63"/>
    </row>
    <row r="26" spans="1:9" ht="14.45">
      <c r="A26" s="46" t="s">
        <v>250</v>
      </c>
      <c r="B26" s="49"/>
      <c r="C26" s="2"/>
      <c r="D26" s="64" t="s">
        <v>251</v>
      </c>
      <c r="E26" s="64"/>
      <c r="F26" s="64"/>
      <c r="G26" s="65">
        <f>G25*3.75</f>
        <v>2579445</v>
      </c>
      <c r="H26" s="2"/>
    </row>
    <row r="27" spans="1:9">
      <c r="A27" s="47" t="s">
        <v>252</v>
      </c>
      <c r="B27" s="45"/>
    </row>
    <row r="28" spans="1:9">
      <c r="A28" s="47" t="s">
        <v>253</v>
      </c>
      <c r="B28" s="45"/>
    </row>
    <row r="32" spans="1:9" ht="18">
      <c r="A32" s="275" t="s">
        <v>254</v>
      </c>
      <c r="B32" s="275"/>
      <c r="C32" s="275"/>
      <c r="D32" s="275"/>
      <c r="E32" s="275"/>
      <c r="F32" s="275"/>
      <c r="G32" s="275"/>
      <c r="H32" s="275"/>
    </row>
    <row r="33" spans="1:8" ht="34.5" thickBot="1">
      <c r="A33" s="22" t="s">
        <v>116</v>
      </c>
      <c r="B33" s="22" t="s">
        <v>117</v>
      </c>
      <c r="C33" s="21" t="s">
        <v>118</v>
      </c>
      <c r="D33" s="38" t="s">
        <v>220</v>
      </c>
      <c r="E33" s="21" t="s">
        <v>221</v>
      </c>
      <c r="F33" s="38" t="s">
        <v>222</v>
      </c>
      <c r="G33" s="22" t="s">
        <v>123</v>
      </c>
      <c r="H33" s="42" t="s">
        <v>224</v>
      </c>
    </row>
    <row r="34" spans="1:8" ht="15" customHeight="1" thickTop="1">
      <c r="B34" s="4"/>
      <c r="C34" s="23"/>
      <c r="E34" s="25"/>
      <c r="F34" s="24"/>
      <c r="G34" s="26"/>
      <c r="H34" s="44"/>
    </row>
    <row r="35" spans="1:8" ht="15" customHeight="1">
      <c r="B35" s="4"/>
      <c r="C35" s="23"/>
      <c r="E35" s="25"/>
      <c r="G35" s="26"/>
      <c r="H35" s="44"/>
    </row>
    <row r="36" spans="1:8" ht="14.45">
      <c r="A36" s="27"/>
      <c r="C36" s="28"/>
      <c r="D36" s="2"/>
      <c r="E36" s="2"/>
      <c r="F36" s="2"/>
    </row>
    <row r="37" spans="1:8" ht="14.45">
      <c r="A37" s="272" t="s">
        <v>248</v>
      </c>
      <c r="B37" s="272"/>
      <c r="C37" s="28"/>
      <c r="D37" s="2"/>
      <c r="E37" s="2"/>
      <c r="F37" s="2"/>
    </row>
    <row r="38" spans="1:8" ht="14.45">
      <c r="A38" s="276"/>
      <c r="B38" s="276"/>
      <c r="D38" s="5" t="s">
        <v>255</v>
      </c>
      <c r="E38" s="5"/>
      <c r="F38" s="5"/>
      <c r="G38" s="8">
        <f>SUM(G34:G35)</f>
        <v>0</v>
      </c>
      <c r="H38" s="2"/>
    </row>
    <row r="39" spans="1:8" ht="14.45">
      <c r="A39" s="46" t="s">
        <v>250</v>
      </c>
      <c r="B39" s="49">
        <v>0</v>
      </c>
      <c r="C39" s="2"/>
      <c r="D39" s="6" t="s">
        <v>256</v>
      </c>
      <c r="E39" s="6"/>
      <c r="F39" s="6"/>
      <c r="G39" s="9">
        <f>G38*3.75</f>
        <v>0</v>
      </c>
      <c r="H39" s="2"/>
    </row>
    <row r="40" spans="1:8" ht="14.45">
      <c r="A40" s="47" t="s">
        <v>252</v>
      </c>
      <c r="B40" s="45">
        <f>COUNTA(Table_67811[Name])</f>
        <v>0</v>
      </c>
      <c r="D40" s="6" t="s">
        <v>257</v>
      </c>
      <c r="E40" s="6"/>
      <c r="F40" s="6"/>
      <c r="G40" s="9">
        <f>G39/22</f>
        <v>0</v>
      </c>
    </row>
    <row r="41" spans="1:8">
      <c r="A41" s="47" t="s">
        <v>253</v>
      </c>
      <c r="B41" s="45">
        <f>B39*22*B40</f>
        <v>0</v>
      </c>
      <c r="D41" s="30" t="s">
        <v>258</v>
      </c>
      <c r="E41" s="30"/>
      <c r="F41" s="30"/>
      <c r="G41" s="31">
        <f>G39*34</f>
        <v>0</v>
      </c>
    </row>
  </sheetData>
  <mergeCells count="4">
    <mergeCell ref="A2:H2"/>
    <mergeCell ref="A24:B25"/>
    <mergeCell ref="A32:H32"/>
    <mergeCell ref="A37:B38"/>
  </mergeCell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Positions!$A$2:$A$24</xm:f>
          </x14:formula1>
          <xm:sqref>B4:B22</xm:sqref>
        </x14:dataValidation>
        <x14:dataValidation type="list" allowBlank="1" showInputMessage="1" showErrorMessage="1" xr:uid="{00000000-0002-0000-0400-000001000000}">
          <x14:formula1>
            <xm:f>Positions!$A$2:$A$9</xm:f>
          </x14:formula1>
          <xm:sqref>B33:B35 B3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ECAB8-278F-4AFB-932F-83F74C8426BF}">
  <dimension ref="A1:H43"/>
  <sheetViews>
    <sheetView showGridLines="0" topLeftCell="A12" zoomScaleNormal="100" workbookViewId="0">
      <selection activeCell="G31" sqref="G31"/>
    </sheetView>
  </sheetViews>
  <sheetFormatPr defaultColWidth="9.375" defaultRowHeight="15" customHeight="1"/>
  <cols>
    <col min="1" max="1" width="32" customWidth="1"/>
    <col min="2" max="2" width="20.375" customWidth="1"/>
    <col min="3" max="3" width="40.375" style="36" bestFit="1" customWidth="1"/>
    <col min="4" max="5" width="19" customWidth="1"/>
    <col min="6" max="6" width="14.375" bestFit="1" customWidth="1"/>
    <col min="8" max="8" width="14.375" customWidth="1"/>
    <col min="9" max="9" width="18.375" customWidth="1"/>
    <col min="10" max="10" width="14" customWidth="1"/>
  </cols>
  <sheetData>
    <row r="1" spans="1:8" ht="14.1"/>
    <row r="2" spans="1:8" ht="14.1"/>
    <row r="3" spans="1:8" ht="14.1"/>
    <row r="4" spans="1:8" ht="14.1"/>
    <row r="5" spans="1:8" ht="18.600000000000001" customHeight="1">
      <c r="A5" s="275"/>
      <c r="B5" s="275"/>
      <c r="C5" s="275"/>
      <c r="D5" s="275"/>
      <c r="E5" s="110"/>
      <c r="F5" s="130"/>
      <c r="G5" s="130"/>
    </row>
    <row r="6" spans="1:8" ht="34.5" thickBot="1">
      <c r="A6" s="22" t="s">
        <v>117</v>
      </c>
      <c r="B6" s="126" t="s">
        <v>118</v>
      </c>
      <c r="C6" s="38" t="s">
        <v>220</v>
      </c>
      <c r="D6" s="22" t="s">
        <v>259</v>
      </c>
      <c r="E6" s="38" t="s">
        <v>260</v>
      </c>
      <c r="F6" s="38" t="s">
        <v>261</v>
      </c>
      <c r="G6" s="38" t="s">
        <v>262</v>
      </c>
      <c r="H6" t="s">
        <v>263</v>
      </c>
    </row>
    <row r="7" spans="1:8" ht="18" thickTop="1" thickBot="1">
      <c r="A7" s="197" t="s">
        <v>126</v>
      </c>
      <c r="B7" s="198">
        <f>VLOOKUP(A:A,[1]Positions2024!A:B,2,0)</f>
        <v>112.25</v>
      </c>
      <c r="C7" s="127">
        <v>176</v>
      </c>
      <c r="D7" s="129">
        <f>[1]!Table_67124[[#This Row],[Hour Rate ($)]]*[1]!Table_67124[[#This Row],[Actual Time (MH)]]</f>
        <v>19756</v>
      </c>
      <c r="E7" s="128">
        <v>16</v>
      </c>
      <c r="F7" s="171">
        <f>[1]!Table_67124[[#This Row],[Estimated '# of Months]]*[1]!Table_67124[[#This Row],[Cost per month]]</f>
        <v>316096</v>
      </c>
      <c r="G7" s="165">
        <f>([1]!Table_67124[[#This Row],[Actual Time (MH)]])*[1]!Table_67124[[#This Row],[Estimated '# of Months]]/8</f>
        <v>352</v>
      </c>
      <c r="H7" s="37">
        <f>[1]!Table_67124[[#This Row],[Total cost USD]]*3.75</f>
        <v>1185360</v>
      </c>
    </row>
    <row r="8" spans="1:8" ht="18" thickTop="1" thickBot="1">
      <c r="A8" s="197" t="s">
        <v>134</v>
      </c>
      <c r="B8" s="198">
        <f>VLOOKUP(A:A,[1]Positions2024!A:B,2,0)</f>
        <v>34.625</v>
      </c>
      <c r="C8" s="127">
        <v>176</v>
      </c>
      <c r="D8" s="129">
        <f>[1]!Table_67124[[#This Row],[Hour Rate ($)]]*[1]!Table_67124[[#This Row],[Actual Time (MH)]]</f>
        <v>6094</v>
      </c>
      <c r="E8" s="128">
        <v>16</v>
      </c>
      <c r="F8" s="171">
        <f>[1]!Table_67124[[#This Row],[Estimated '# of Months]]*[1]!Table_67124[[#This Row],[Cost per month]]</f>
        <v>97504</v>
      </c>
      <c r="G8" s="165">
        <f>([1]!Table_67124[[#This Row],[Actual Time (MH)]])*[1]!Table_67124[[#This Row],[Estimated '# of Months]]/8</f>
        <v>352</v>
      </c>
      <c r="H8" s="37">
        <f>[1]!Table_67124[[#This Row],[Total cost USD]]*3.75</f>
        <v>365640</v>
      </c>
    </row>
    <row r="9" spans="1:8" ht="18" thickTop="1" thickBot="1">
      <c r="A9" s="197" t="s">
        <v>230</v>
      </c>
      <c r="B9" s="198">
        <f>VLOOKUP(A:A,[1]Positions2024!A:B,2,0)</f>
        <v>87</v>
      </c>
      <c r="C9" s="127">
        <v>176</v>
      </c>
      <c r="D9" s="129">
        <f>[1]!Table_67124[[#This Row],[Hour Rate ($)]]*[1]!Table_67124[[#This Row],[Actual Time (MH)]]</f>
        <v>15312</v>
      </c>
      <c r="E9" s="128">
        <v>16</v>
      </c>
      <c r="F9" s="171">
        <f>[1]!Table_67124[[#This Row],[Estimated '# of Months]]*[1]!Table_67124[[#This Row],[Cost per month]]</f>
        <v>244992</v>
      </c>
      <c r="G9" s="165">
        <f>([1]!Table_67124[[#This Row],[Actual Time (MH)]])*[1]!Table_67124[[#This Row],[Estimated '# of Months]]/8</f>
        <v>352</v>
      </c>
      <c r="H9" s="37">
        <f>[1]!Table_67124[[#This Row],[Total cost USD]]*3.75</f>
        <v>918720</v>
      </c>
    </row>
    <row r="10" spans="1:8" ht="18" customHeight="1" thickTop="1" thickBot="1">
      <c r="A10" s="197" t="s">
        <v>264</v>
      </c>
      <c r="B10" s="198">
        <f>VLOOKUP(A:A,[1]Positions2024!A:B,2,0)</f>
        <v>79.125</v>
      </c>
      <c r="C10" s="127">
        <v>176</v>
      </c>
      <c r="D10" s="129">
        <f>[1]!Table_67124[[#This Row],[Hour Rate ($)]]*[1]!Table_67124[[#This Row],[Actual Time (MH)]]</f>
        <v>13926</v>
      </c>
      <c r="E10" s="128">
        <v>16</v>
      </c>
      <c r="F10" s="171">
        <f>[1]!Table_67124[[#This Row],[Estimated '# of Months]]*[1]!Table_67124[[#This Row],[Cost per month]]</f>
        <v>222816</v>
      </c>
      <c r="G10" s="165">
        <f>([1]!Table_67124[[#This Row],[Actual Time (MH)]])*[1]!Table_67124[[#This Row],[Estimated '# of Months]]/8</f>
        <v>352</v>
      </c>
      <c r="H10" s="37">
        <f>[1]!Table_67124[[#This Row],[Total cost USD]]*3.75</f>
        <v>835560</v>
      </c>
    </row>
    <row r="11" spans="1:8" ht="18" thickTop="1" thickBot="1">
      <c r="A11" s="197" t="s">
        <v>264</v>
      </c>
      <c r="B11" s="198">
        <f>VLOOKUP(A:A,[1]Positions2024!A:B,2,0)</f>
        <v>79.125</v>
      </c>
      <c r="C11" s="127">
        <v>176</v>
      </c>
      <c r="D11" s="129">
        <f>[1]!Table_67124[[#This Row],[Hour Rate ($)]]*[1]!Table_67124[[#This Row],[Actual Time (MH)]]</f>
        <v>13926</v>
      </c>
      <c r="E11" s="128">
        <v>16</v>
      </c>
      <c r="F11" s="171">
        <f>[1]!Table_67124[[#This Row],[Estimated '# of Months]]*[1]!Table_67124[[#This Row],[Cost per month]]</f>
        <v>222816</v>
      </c>
      <c r="G11" s="165">
        <f>([1]!Table_67124[[#This Row],[Actual Time (MH)]])*[1]!Table_67124[[#This Row],[Estimated '# of Months]]/8</f>
        <v>352</v>
      </c>
      <c r="H11" s="37">
        <f>[1]!Table_67124[[#This Row],[Total cost USD]]*3.75</f>
        <v>835560</v>
      </c>
    </row>
    <row r="12" spans="1:8" ht="18" thickTop="1" thickBot="1">
      <c r="A12" s="197" t="s">
        <v>265</v>
      </c>
      <c r="B12" s="198">
        <f>VLOOKUP(A:A,[1]Positions2024!A:B,2,0)</f>
        <v>56.25</v>
      </c>
      <c r="C12" s="127">
        <v>176</v>
      </c>
      <c r="D12" s="129">
        <f>[1]!Table_67124[[#This Row],[Hour Rate ($)]]*[1]!Table_67124[[#This Row],[Actual Time (MH)]]</f>
        <v>9900</v>
      </c>
      <c r="E12" s="128">
        <v>16</v>
      </c>
      <c r="F12" s="171">
        <f>[1]!Table_67124[[#This Row],[Estimated '# of Months]]*[1]!Table_67124[[#This Row],[Cost per month]]</f>
        <v>158400</v>
      </c>
      <c r="G12" s="165">
        <f>([1]!Table_67124[[#This Row],[Actual Time (MH)]])*[1]!Table_67124[[#This Row],[Estimated '# of Months]]/8</f>
        <v>352</v>
      </c>
      <c r="H12" s="37">
        <f>[1]!Table_67124[[#This Row],[Total cost USD]]*3.75</f>
        <v>594000</v>
      </c>
    </row>
    <row r="13" spans="1:8" ht="18" thickTop="1" thickBot="1">
      <c r="A13" s="197" t="s">
        <v>233</v>
      </c>
      <c r="B13" s="198">
        <f>VLOOKUP(A:A,[1]Positions2024!A:B,2,0)</f>
        <v>31.625</v>
      </c>
      <c r="C13" s="127">
        <v>176</v>
      </c>
      <c r="D13" s="129">
        <f>[1]!Table_67124[[#This Row],[Hour Rate ($)]]*[1]!Table_67124[[#This Row],[Actual Time (MH)]]</f>
        <v>5566</v>
      </c>
      <c r="E13" s="128">
        <v>16</v>
      </c>
      <c r="F13" s="206">
        <f>[1]!Table_67124[[#This Row],[Estimated '# of Months]]*[1]!Table_67124[[#This Row],[Cost per month]]</f>
        <v>89056</v>
      </c>
      <c r="G13" s="165">
        <f>([1]!Table_67124[[#This Row],[Actual Time (MH)]])*[1]!Table_67124[[#This Row],[Estimated '# of Months]]/8</f>
        <v>352</v>
      </c>
      <c r="H13" s="37">
        <f>[1]!Table_67124[[#This Row],[Total cost USD]]*3.75</f>
        <v>333960</v>
      </c>
    </row>
    <row r="14" spans="1:8" ht="18" thickTop="1" thickBot="1">
      <c r="A14" s="197" t="s">
        <v>233</v>
      </c>
      <c r="B14" s="198">
        <f>VLOOKUP(A:A,[1]Positions2024!A:B,2,0)</f>
        <v>31.625</v>
      </c>
      <c r="C14" s="127">
        <v>176</v>
      </c>
      <c r="D14" s="129">
        <f>[1]!Table_67124[[#This Row],[Hour Rate ($)]]*[1]!Table_67124[[#This Row],[Actual Time (MH)]]</f>
        <v>5566</v>
      </c>
      <c r="E14" s="128">
        <v>16</v>
      </c>
      <c r="F14" s="206">
        <f>[1]!Table_67124[[#This Row],[Estimated '# of Months]]*[1]!Table_67124[[#This Row],[Cost per month]]</f>
        <v>89056</v>
      </c>
      <c r="G14" s="165">
        <f>([1]!Table_67124[[#This Row],[Actual Time (MH)]])*[1]!Table_67124[[#This Row],[Estimated '# of Months]]/8</f>
        <v>352</v>
      </c>
      <c r="H14" s="37">
        <f>[1]!Table_67124[[#This Row],[Total cost USD]]*3.75</f>
        <v>333960</v>
      </c>
    </row>
    <row r="15" spans="1:8" ht="18" thickTop="1" thickBot="1">
      <c r="A15" s="197" t="s">
        <v>130</v>
      </c>
      <c r="B15" s="198">
        <f>VLOOKUP(A:A,[1]Positions2024!A:B,2,0)</f>
        <v>27.875</v>
      </c>
      <c r="C15" s="127">
        <v>176</v>
      </c>
      <c r="D15" s="129">
        <f>[1]!Table_67124[[#This Row],[Hour Rate ($)]]*[1]!Table_67124[[#This Row],[Actual Time (MH)]]</f>
        <v>4906</v>
      </c>
      <c r="E15" s="128">
        <v>16</v>
      </c>
      <c r="F15" s="206">
        <f>[1]!Table_67124[[#This Row],[Estimated '# of Months]]*[1]!Table_67124[[#This Row],[Cost per month]]</f>
        <v>78496</v>
      </c>
      <c r="G15" s="165">
        <f>([1]!Table_67124[[#This Row],[Actual Time (MH)]])*[1]!Table_67124[[#This Row],[Estimated '# of Months]]/8</f>
        <v>352</v>
      </c>
      <c r="H15" s="37">
        <f>[1]!Table_67124[[#This Row],[Total cost USD]]*3.75</f>
        <v>294360</v>
      </c>
    </row>
    <row r="16" spans="1:8" ht="18" thickTop="1" thickBot="1">
      <c r="A16" s="197" t="s">
        <v>130</v>
      </c>
      <c r="B16" s="198">
        <f>VLOOKUP(A:A,[1]Positions2024!A:B,2,0)</f>
        <v>27.875</v>
      </c>
      <c r="C16" s="127">
        <v>176</v>
      </c>
      <c r="D16" s="129">
        <f>[1]!Table_67124[[#This Row],[Hour Rate ($)]]*[1]!Table_67124[[#This Row],[Actual Time (MH)]]</f>
        <v>4906</v>
      </c>
      <c r="E16" s="128">
        <v>16</v>
      </c>
      <c r="F16" s="206">
        <f>[1]!Table_67124[[#This Row],[Estimated '# of Months]]*[1]!Table_67124[[#This Row],[Cost per month]]</f>
        <v>78496</v>
      </c>
      <c r="G16" s="165">
        <f>([1]!Table_67124[[#This Row],[Actual Time (MH)]])*[1]!Table_67124[[#This Row],[Estimated '# of Months]]/8</f>
        <v>352</v>
      </c>
      <c r="H16" s="37">
        <f>[1]!Table_67124[[#This Row],[Total cost USD]]*3.75</f>
        <v>294360</v>
      </c>
    </row>
    <row r="17" spans="1:8" ht="18" thickTop="1" thickBot="1">
      <c r="A17" s="197" t="s">
        <v>130</v>
      </c>
      <c r="B17" s="198">
        <f>VLOOKUP(A:A,[1]Positions2024!A:B,2,0)</f>
        <v>27.875</v>
      </c>
      <c r="C17" s="127">
        <v>176</v>
      </c>
      <c r="D17" s="129">
        <f>[1]!Table_67124[[#This Row],[Hour Rate ($)]]*[1]!Table_67124[[#This Row],[Actual Time (MH)]]</f>
        <v>4906</v>
      </c>
      <c r="E17" s="128">
        <v>16</v>
      </c>
      <c r="F17" s="206">
        <f>[1]!Table_67124[[#This Row],[Estimated '# of Months]]*[1]!Table_67124[[#This Row],[Cost per month]]</f>
        <v>78496</v>
      </c>
      <c r="G17" s="165">
        <f>([1]!Table_67124[[#This Row],[Actual Time (MH)]])*[1]!Table_67124[[#This Row],[Estimated '# of Months]]/8</f>
        <v>352</v>
      </c>
      <c r="H17" s="37">
        <f>[1]!Table_67124[[#This Row],[Total cost USD]]*3.75</f>
        <v>294360</v>
      </c>
    </row>
    <row r="18" spans="1:8" ht="18" thickTop="1" thickBot="1">
      <c r="A18" s="197" t="s">
        <v>130</v>
      </c>
      <c r="B18" s="198">
        <f>VLOOKUP(A:A,[1]Positions2024!A:B,2,0)</f>
        <v>27.875</v>
      </c>
      <c r="C18" s="127">
        <v>176</v>
      </c>
      <c r="D18" s="129">
        <f>[1]!Table_67124[[#This Row],[Hour Rate ($)]]*[1]!Table_67124[[#This Row],[Actual Time (MH)]]</f>
        <v>4906</v>
      </c>
      <c r="E18" s="128">
        <v>16</v>
      </c>
      <c r="F18" s="206">
        <f>[1]!Table_67124[[#This Row],[Estimated '# of Months]]*[1]!Table_67124[[#This Row],[Cost per month]]</f>
        <v>78496</v>
      </c>
      <c r="G18" s="165">
        <f>([1]!Table_67124[[#This Row],[Actual Time (MH)]])*[1]!Table_67124[[#This Row],[Estimated '# of Months]]/8</f>
        <v>352</v>
      </c>
      <c r="H18" s="37">
        <f>[1]!Table_67124[[#This Row],[Total cost USD]]*3.75</f>
        <v>294360</v>
      </c>
    </row>
    <row r="19" spans="1:8" ht="18" thickTop="1" thickBot="1">
      <c r="A19" s="197" t="s">
        <v>130</v>
      </c>
      <c r="B19" s="198">
        <f>VLOOKUP(A:A,[1]Positions2024!A:B,2,0)</f>
        <v>27.875</v>
      </c>
      <c r="C19" s="127">
        <v>176</v>
      </c>
      <c r="D19" s="129">
        <f>[1]!Table_67124[[#This Row],[Hour Rate ($)]]*[1]!Table_67124[[#This Row],[Actual Time (MH)]]</f>
        <v>4906</v>
      </c>
      <c r="E19" s="128">
        <v>16</v>
      </c>
      <c r="F19" s="206">
        <f>[1]!Table_67124[[#This Row],[Estimated '# of Months]]*[1]!Table_67124[[#This Row],[Cost per month]]</f>
        <v>78496</v>
      </c>
      <c r="G19" s="165">
        <f>([1]!Table_67124[[#This Row],[Actual Time (MH)]])*[1]!Table_67124[[#This Row],[Estimated '# of Months]]/8</f>
        <v>352</v>
      </c>
      <c r="H19" s="37">
        <f>[1]!Table_67124[[#This Row],[Total cost USD]]*3.75</f>
        <v>294360</v>
      </c>
    </row>
    <row r="20" spans="1:8" ht="18" thickTop="1" thickBot="1">
      <c r="A20" s="197" t="s">
        <v>158</v>
      </c>
      <c r="B20" s="198">
        <f>VLOOKUP(A:A,[1]Positions2024!A:B,2,0)</f>
        <v>79.125</v>
      </c>
      <c r="C20" s="127">
        <v>176</v>
      </c>
      <c r="D20" s="129">
        <f>[1]!Table_67124[[#This Row],[Hour Rate ($)]]*[1]!Table_67124[[#This Row],[Actual Time (MH)]]</f>
        <v>13926</v>
      </c>
      <c r="E20" s="128">
        <v>15</v>
      </c>
      <c r="F20" s="206">
        <f>[1]!Table_67124[[#This Row],[Estimated '# of Months]]*[1]!Table_67124[[#This Row],[Cost per month]]</f>
        <v>208890</v>
      </c>
      <c r="G20" s="165">
        <f>([1]!Table_67124[[#This Row],[Actual Time (MH)]])*[1]!Table_67124[[#This Row],[Estimated '# of Months]]/8</f>
        <v>330</v>
      </c>
      <c r="H20" s="37">
        <f>[1]!Table_67124[[#This Row],[Total cost USD]]*3.75</f>
        <v>783337.5</v>
      </c>
    </row>
    <row r="21" spans="1:8" ht="15" customHeight="1" thickTop="1" thickBot="1">
      <c r="A21" s="197" t="s">
        <v>158</v>
      </c>
      <c r="B21" s="198">
        <f>VLOOKUP(A:A,[1]Positions2024!A:B,2,0)</f>
        <v>79.125</v>
      </c>
      <c r="C21" s="127">
        <v>176</v>
      </c>
      <c r="D21" s="129">
        <f>[1]!Table_67124[[#This Row],[Hour Rate ($)]]*[1]!Table_67124[[#This Row],[Actual Time (MH)]]</f>
        <v>13926</v>
      </c>
      <c r="E21" s="128">
        <v>15</v>
      </c>
      <c r="F21" s="171">
        <f>[1]!Table_67124[[#This Row],[Estimated '# of Months]]*[1]!Table_67124[[#This Row],[Cost per month]]</f>
        <v>208890</v>
      </c>
      <c r="G21" s="165">
        <f>([1]!Table_67124[[#This Row],[Actual Time (MH)]])*[1]!Table_67124[[#This Row],[Estimated '# of Months]]/8</f>
        <v>330</v>
      </c>
      <c r="H21" s="37">
        <f>[1]!Table_67124[[#This Row],[Total cost USD]]*3.75</f>
        <v>783337.5</v>
      </c>
    </row>
    <row r="22" spans="1:8" ht="15" customHeight="1" thickTop="1" thickBot="1">
      <c r="A22" s="197" t="s">
        <v>241</v>
      </c>
      <c r="B22" s="198">
        <f>VLOOKUP(A:A,[1]Positions2024!A:B,2,0)</f>
        <v>31.625</v>
      </c>
      <c r="C22" s="127">
        <v>176</v>
      </c>
      <c r="D22" s="129">
        <f>[1]!Table_67124[[#This Row],[Hour Rate ($)]]*[1]!Table_67124[[#This Row],[Actual Time (MH)]]</f>
        <v>5566</v>
      </c>
      <c r="E22" s="128">
        <v>15</v>
      </c>
      <c r="F22" s="206">
        <f>[1]!Table_67124[[#This Row],[Estimated '# of Months]]*[1]!Table_67124[[#This Row],[Cost per month]]</f>
        <v>83490</v>
      </c>
      <c r="G22" s="165">
        <f>([1]!Table_67124[[#This Row],[Actual Time (MH)]])*[1]!Table_67124[[#This Row],[Estimated '# of Months]]/8</f>
        <v>330</v>
      </c>
      <c r="H22" s="37">
        <f>[1]!Table_67124[[#This Row],[Total cost USD]]*3.75</f>
        <v>313087.5</v>
      </c>
    </row>
    <row r="23" spans="1:8" ht="15" customHeight="1" thickTop="1" thickBot="1">
      <c r="A23" s="197" t="s">
        <v>241</v>
      </c>
      <c r="B23" s="198">
        <f>VLOOKUP(A:A,[1]Positions2024!A:B,2,0)</f>
        <v>31.625</v>
      </c>
      <c r="C23" s="127">
        <v>176</v>
      </c>
      <c r="D23" s="129">
        <f>[1]!Table_67124[[#This Row],[Hour Rate ($)]]*[1]!Table_67124[[#This Row],[Actual Time (MH)]]</f>
        <v>5566</v>
      </c>
      <c r="E23" s="128">
        <v>15</v>
      </c>
      <c r="F23" s="206">
        <f>[1]!Table_67124[[#This Row],[Estimated '# of Months]]*[1]!Table_67124[[#This Row],[Cost per month]]</f>
        <v>83490</v>
      </c>
      <c r="G23" s="165">
        <f>([1]!Table_67124[[#This Row],[Actual Time (MH)]])*[1]!Table_67124[[#This Row],[Estimated '# of Months]]/8</f>
        <v>330</v>
      </c>
      <c r="H23" s="37">
        <f>[1]!Table_67124[[#This Row],[Total cost USD]]*3.75</f>
        <v>313087.5</v>
      </c>
    </row>
    <row r="24" spans="1:8" ht="15" customHeight="1" thickTop="1" thickBot="1">
      <c r="A24" s="197" t="s">
        <v>128</v>
      </c>
      <c r="B24" s="198">
        <f>VLOOKUP(A:A,[1]Positions2024!A:B,2,0)</f>
        <v>31.625</v>
      </c>
      <c r="C24" s="127">
        <v>176</v>
      </c>
      <c r="D24" s="129">
        <f>[1]!Table_67124[[#This Row],[Hour Rate ($)]]*[1]!Table_67124[[#This Row],[Actual Time (MH)]]</f>
        <v>5566</v>
      </c>
      <c r="E24" s="128">
        <v>12</v>
      </c>
      <c r="F24" s="206">
        <f>[1]!Table_67124[[#This Row],[Estimated '# of Months]]*[1]!Table_67124[[#This Row],[Cost per month]]</f>
        <v>66792</v>
      </c>
      <c r="G24" s="165">
        <f>([1]!Table_67124[[#This Row],[Actual Time (MH)]])*[1]!Table_67124[[#This Row],[Estimated '# of Months]]/8</f>
        <v>264</v>
      </c>
      <c r="H24" s="37">
        <f>[1]!Table_67124[[#This Row],[Total cost USD]]*3.75</f>
        <v>250470</v>
      </c>
    </row>
    <row r="25" spans="1:8" ht="15" customHeight="1" thickTop="1" thickBot="1">
      <c r="A25" s="197" t="s">
        <v>266</v>
      </c>
      <c r="B25" s="198">
        <f>VLOOKUP(A:A,[1]Positions2024!A:B,2,0)</f>
        <v>79.125</v>
      </c>
      <c r="C25" s="127">
        <v>176</v>
      </c>
      <c r="D25" s="129">
        <f>[1]!Table_67124[[#This Row],[Hour Rate ($)]]*[1]!Table_67124[[#This Row],[Actual Time (MH)]]</f>
        <v>13926</v>
      </c>
      <c r="E25" s="128">
        <v>6</v>
      </c>
      <c r="F25" s="206">
        <f>[1]!Table_67124[[#This Row],[Estimated '# of Months]]*[1]!Table_67124[[#This Row],[Cost per month]]</f>
        <v>83556</v>
      </c>
      <c r="G25" s="165">
        <f>([1]!Table_67124[[#This Row],[Actual Time (MH)]])*[1]!Table_67124[[#This Row],[Estimated '# of Months]]/8</f>
        <v>132</v>
      </c>
      <c r="H25" s="37">
        <f>[1]!Table_67124[[#This Row],[Total cost USD]]*3.75</f>
        <v>313335</v>
      </c>
    </row>
    <row r="26" spans="1:8" ht="15" customHeight="1" thickTop="1">
      <c r="A26" s="197" t="s">
        <v>264</v>
      </c>
      <c r="B26" s="198">
        <f>VLOOKUP(A:A,[1]Positions2024!A:B,2,0)</f>
        <v>79.125</v>
      </c>
      <c r="C26" s="127">
        <v>176</v>
      </c>
      <c r="D26" s="129">
        <f>[1]!Table_67124[[#This Row],[Hour Rate ($)]]*[1]!Table_67124[[#This Row],[Actual Time (MH)]]</f>
        <v>13926</v>
      </c>
      <c r="E26" s="128">
        <v>12</v>
      </c>
      <c r="F26" s="206">
        <f>[1]!Table_67124[[#This Row],[Estimated '# of Months]]*[1]!Table_67124[[#This Row],[Cost per month]]</f>
        <v>167112</v>
      </c>
      <c r="G26" s="165">
        <f>([1]!Table_67124[[#This Row],[Actual Time (MH)]])*[1]!Table_67124[[#This Row],[Estimated '# of Months]]/8</f>
        <v>264</v>
      </c>
      <c r="H26" s="37">
        <f>[1]!Table_67124[[#This Row],[Total cost USD]]*3.75</f>
        <v>626670</v>
      </c>
    </row>
    <row r="27" spans="1:8" ht="15" customHeight="1">
      <c r="B27" s="28"/>
      <c r="C27" s="73"/>
      <c r="D27" s="61"/>
      <c r="E27" s="61"/>
      <c r="F27" s="199">
        <f>SUM(Table_67124[Total cost USD])</f>
        <v>2735436</v>
      </c>
      <c r="G27" s="199">
        <f>SUBTOTAL(109,Table_67124[Total No of MDs])</f>
        <v>6556</v>
      </c>
    </row>
    <row r="28" spans="1:8" ht="15" customHeight="1">
      <c r="A28" s="272"/>
      <c r="B28" s="28"/>
      <c r="C28" s="73"/>
    </row>
    <row r="29" spans="1:8" ht="15" customHeight="1">
      <c r="A29" s="276"/>
      <c r="C29" s="119" t="s">
        <v>255</v>
      </c>
      <c r="D29" s="120">
        <f>SUM(D7:D26)</f>
        <v>186978</v>
      </c>
      <c r="E29" s="120"/>
    </row>
    <row r="30" spans="1:8" ht="15" customHeight="1">
      <c r="B30" s="2"/>
      <c r="C30" s="117" t="s">
        <v>256</v>
      </c>
      <c r="D30" s="122">
        <f>D29*3.75</f>
        <v>701167.5</v>
      </c>
      <c r="E30" s="118"/>
    </row>
    <row r="31" spans="1:8" ht="15" customHeight="1">
      <c r="C31" s="123" t="s">
        <v>267</v>
      </c>
      <c r="D31" s="125">
        <f>(SUM(Table_67124[Actual Time (MH)]))/8</f>
        <v>440</v>
      </c>
      <c r="E31" s="124"/>
    </row>
    <row r="32" spans="1:8" ht="15" customHeight="1">
      <c r="C32" s="117" t="s">
        <v>268</v>
      </c>
      <c r="D32" s="122">
        <f>D30/D31</f>
        <v>1593.5625</v>
      </c>
      <c r="E32" s="118"/>
    </row>
    <row r="33" spans="3:5" ht="15" customHeight="1">
      <c r="C33" s="115" t="s">
        <v>269</v>
      </c>
      <c r="D33" s="116">
        <f>Table_67124[[#Totals],[Total cost USD]]*3.75</f>
        <v>10257885</v>
      </c>
      <c r="E33" s="116"/>
    </row>
    <row r="37" spans="3:5" ht="14.1"/>
    <row r="38" spans="3:5" ht="14.1"/>
    <row r="41" spans="3:5" ht="14.1"/>
    <row r="42" spans="3:5" ht="14.1"/>
    <row r="43" spans="3:5" ht="14.1"/>
  </sheetData>
  <mergeCells count="2">
    <mergeCell ref="A5:D5"/>
    <mergeCell ref="A28:A29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3"/>
  <sheetViews>
    <sheetView showGridLines="0" topLeftCell="C5" zoomScaleNormal="80" workbookViewId="0">
      <selection activeCell="I18" sqref="I18"/>
    </sheetView>
  </sheetViews>
  <sheetFormatPr defaultColWidth="9.375" defaultRowHeight="15" customHeight="1"/>
  <cols>
    <col min="1" max="1" width="32" customWidth="1"/>
    <col min="2" max="2" width="20.375" customWidth="1"/>
    <col min="3" max="3" width="40.375" style="36" bestFit="1" customWidth="1"/>
    <col min="4" max="5" width="19" customWidth="1"/>
    <col min="6" max="6" width="14.375" bestFit="1" customWidth="1"/>
    <col min="7" max="7" width="31" customWidth="1"/>
    <col min="8" max="8" width="14.375" customWidth="1"/>
    <col min="9" max="9" width="18.375" customWidth="1"/>
    <col min="10" max="10" width="14" customWidth="1"/>
  </cols>
  <sheetData>
    <row r="1" spans="1:8" ht="14.1"/>
    <row r="2" spans="1:8" ht="14.1"/>
    <row r="3" spans="1:8" ht="14.1"/>
    <row r="4" spans="1:8" ht="14.1"/>
    <row r="5" spans="1:8" ht="18">
      <c r="A5" s="275"/>
      <c r="B5" s="275"/>
      <c r="C5" s="275"/>
      <c r="D5" s="275"/>
      <c r="E5" s="110"/>
      <c r="F5" s="130"/>
      <c r="G5" s="130"/>
    </row>
    <row r="6" spans="1:8" ht="33.950000000000003">
      <c r="A6" s="22" t="s">
        <v>117</v>
      </c>
      <c r="B6" s="126" t="s">
        <v>118</v>
      </c>
      <c r="C6" s="38" t="s">
        <v>220</v>
      </c>
      <c r="D6" s="22" t="s">
        <v>259</v>
      </c>
      <c r="E6" s="38" t="s">
        <v>260</v>
      </c>
      <c r="F6" s="38" t="s">
        <v>261</v>
      </c>
      <c r="G6" s="38" t="s">
        <v>262</v>
      </c>
      <c r="H6" t="s">
        <v>263</v>
      </c>
    </row>
    <row r="7" spans="1:8" ht="17.100000000000001">
      <c r="A7" s="197" t="s">
        <v>138</v>
      </c>
      <c r="B7" s="198">
        <f>VLOOKUP(A:A,Positions2024!A:B,2,0)</f>
        <v>112.25</v>
      </c>
      <c r="C7" s="127">
        <v>176</v>
      </c>
      <c r="D7" s="129">
        <f>Table_6712[[#This Row],[Hour Rate ($)]]*Table_6712[[#This Row],[Actual Time (MH)]]</f>
        <v>19756</v>
      </c>
      <c r="E7" s="128">
        <v>12</v>
      </c>
      <c r="F7" s="206">
        <f>Table_6712[[#This Row],[Estimated '# of Months]]*Table_6712[[#This Row],[Cost per month]]</f>
        <v>237072</v>
      </c>
      <c r="G7" s="165">
        <f>(Table_6712[[#This Row],[Actual Time (MH)]])*Table_6712[[#This Row],[Estimated '# of Months]]/8</f>
        <v>264</v>
      </c>
      <c r="H7" s="37">
        <f>Table_6712[[#This Row],[Total cost USD]]*3.75</f>
        <v>889020</v>
      </c>
    </row>
    <row r="8" spans="1:8" ht="17.100000000000001">
      <c r="A8" s="197" t="s">
        <v>138</v>
      </c>
      <c r="B8" s="198">
        <f>VLOOKUP(A:A,Positions2024!A:B,2,0)</f>
        <v>112.25</v>
      </c>
      <c r="C8" s="127">
        <v>176</v>
      </c>
      <c r="D8" s="129">
        <f>Table_6712[[#This Row],[Hour Rate ($)]]*Table_6712[[#This Row],[Actual Time (MH)]]</f>
        <v>19756</v>
      </c>
      <c r="E8" s="128">
        <v>3</v>
      </c>
      <c r="F8" s="206">
        <f>Table_6712[[#This Row],[Estimated '# of Months]]*Table_6712[[#This Row],[Cost per month]]</f>
        <v>59268</v>
      </c>
      <c r="G8" s="165">
        <f>(Table_6712[[#This Row],[Actual Time (MH)]])*Table_6712[[#This Row],[Estimated '# of Months]]/8</f>
        <v>66</v>
      </c>
      <c r="H8" s="37">
        <f>Table_6712[[#This Row],[Total cost USD]]*3.75</f>
        <v>222255</v>
      </c>
    </row>
    <row r="9" spans="1:8" ht="17.100000000000001">
      <c r="A9" s="197" t="s">
        <v>138</v>
      </c>
      <c r="B9" s="198">
        <f>VLOOKUP(A:A,Positions2024!A:B,2,0)</f>
        <v>112.25</v>
      </c>
      <c r="C9" s="127">
        <v>176</v>
      </c>
      <c r="D9" s="129">
        <f>Table_6712[[#This Row],[Hour Rate ($)]]*Table_6712[[#This Row],[Actual Time (MH)]]</f>
        <v>19756</v>
      </c>
      <c r="E9" s="128">
        <v>3</v>
      </c>
      <c r="F9" s="206">
        <f>Table_6712[[#This Row],[Estimated '# of Months]]*Table_6712[[#This Row],[Cost per month]]</f>
        <v>59268</v>
      </c>
      <c r="G9" s="165">
        <f>(Table_6712[[#This Row],[Actual Time (MH)]])*Table_6712[[#This Row],[Estimated '# of Months]]/8</f>
        <v>66</v>
      </c>
      <c r="H9" s="37">
        <f>Table_6712[[#This Row],[Total cost USD]]*3.75</f>
        <v>222255</v>
      </c>
    </row>
    <row r="10" spans="1:8" ht="18" customHeight="1">
      <c r="A10" s="197" t="s">
        <v>138</v>
      </c>
      <c r="B10" s="198">
        <f>VLOOKUP(A:A,Positions2024!A:B,2,0)</f>
        <v>112.25</v>
      </c>
      <c r="C10" s="127">
        <v>176</v>
      </c>
      <c r="D10" s="129">
        <f>Table_6712[[#This Row],[Hour Rate ($)]]*Table_6712[[#This Row],[Actual Time (MH)]]</f>
        <v>19756</v>
      </c>
      <c r="E10" s="128">
        <v>3</v>
      </c>
      <c r="F10" s="206">
        <f>Table_6712[[#This Row],[Estimated '# of Months]]*Table_6712[[#This Row],[Cost per month]]</f>
        <v>59268</v>
      </c>
      <c r="G10" s="165">
        <f>(Table_6712[[#This Row],[Actual Time (MH)]])*Table_6712[[#This Row],[Estimated '# of Months]]/8</f>
        <v>66</v>
      </c>
      <c r="H10" s="37">
        <f>Table_6712[[#This Row],[Total cost USD]]*3.75</f>
        <v>222255</v>
      </c>
    </row>
    <row r="11" spans="1:8" ht="17.100000000000001">
      <c r="A11" s="197" t="s">
        <v>138</v>
      </c>
      <c r="B11" s="198">
        <f>VLOOKUP(A:A,Positions2024!A:B,2,0)</f>
        <v>112.25</v>
      </c>
      <c r="C11" s="127">
        <v>176</v>
      </c>
      <c r="D11" s="129">
        <f>Table_6712[[#This Row],[Hour Rate ($)]]*Table_6712[[#This Row],[Actual Time (MH)]]</f>
        <v>19756</v>
      </c>
      <c r="E11" s="128">
        <v>3</v>
      </c>
      <c r="F11" s="206">
        <f>Table_6712[[#This Row],[Estimated '# of Months]]*Table_6712[[#This Row],[Cost per month]]</f>
        <v>59268</v>
      </c>
      <c r="G11" s="165">
        <f>(Table_6712[[#This Row],[Actual Time (MH)]])*Table_6712[[#This Row],[Estimated '# of Months]]/8</f>
        <v>66</v>
      </c>
      <c r="H11" s="37">
        <f>Table_6712[[#This Row],[Total cost USD]]*3.75</f>
        <v>222255</v>
      </c>
    </row>
    <row r="12" spans="1:8" ht="17.100000000000001">
      <c r="A12" s="197" t="s">
        <v>138</v>
      </c>
      <c r="B12" s="198">
        <f>VLOOKUP(A:A,Positions2024!A:B,2,0)</f>
        <v>112.25</v>
      </c>
      <c r="C12" s="127">
        <v>176</v>
      </c>
      <c r="D12" s="129">
        <f>Table_6712[[#This Row],[Hour Rate ($)]]*Table_6712[[#This Row],[Actual Time (MH)]]</f>
        <v>19756</v>
      </c>
      <c r="E12" s="128">
        <v>12</v>
      </c>
      <c r="F12" s="206">
        <f>Table_6712[[#This Row],[Estimated '# of Months]]*Table_6712[[#This Row],[Cost per month]]</f>
        <v>237072</v>
      </c>
      <c r="G12" s="165">
        <f>(Table_6712[[#This Row],[Actual Time (MH)]])*Table_6712[[#This Row],[Estimated '# of Months]]/8</f>
        <v>264</v>
      </c>
      <c r="H12" s="37">
        <f>Table_6712[[#This Row],[Total cost USD]]*3.75</f>
        <v>889020</v>
      </c>
    </row>
    <row r="13" spans="1:8" ht="17.100000000000001">
      <c r="A13" s="197" t="s">
        <v>158</v>
      </c>
      <c r="B13" s="198">
        <f>VLOOKUP(A:A,Positions2024!A:B,2,0)</f>
        <v>79.125</v>
      </c>
      <c r="C13" s="127">
        <v>176</v>
      </c>
      <c r="D13" s="129">
        <f>Table_6712[[#This Row],[Hour Rate ($)]]*Table_6712[[#This Row],[Actual Time (MH)]]</f>
        <v>13926</v>
      </c>
      <c r="E13" s="128">
        <v>12</v>
      </c>
      <c r="F13" s="206">
        <f>Table_6712[[#This Row],[Estimated '# of Months]]*Table_6712[[#This Row],[Cost per month]]</f>
        <v>167112</v>
      </c>
      <c r="G13" s="165">
        <f>(Table_6712[[#This Row],[Actual Time (MH)]])*Table_6712[[#This Row],[Estimated '# of Months]]/8</f>
        <v>264</v>
      </c>
      <c r="H13" s="37">
        <f>Table_6712[[#This Row],[Total cost USD]]*3.75</f>
        <v>626670</v>
      </c>
    </row>
    <row r="14" spans="1:8" ht="17.100000000000001">
      <c r="A14" s="197" t="s">
        <v>158</v>
      </c>
      <c r="B14" s="198">
        <f>VLOOKUP(A:A,Positions2024!A:B,2,0)</f>
        <v>79.125</v>
      </c>
      <c r="C14" s="127">
        <v>176</v>
      </c>
      <c r="D14" s="129">
        <f>Table_6712[[#This Row],[Hour Rate ($)]]*Table_6712[[#This Row],[Actual Time (MH)]]</f>
        <v>13926</v>
      </c>
      <c r="E14" s="128">
        <v>12</v>
      </c>
      <c r="F14" s="206">
        <f>Table_6712[[#This Row],[Estimated '# of Months]]*Table_6712[[#This Row],[Cost per month]]</f>
        <v>167112</v>
      </c>
      <c r="G14" s="165">
        <f>(Table_6712[[#This Row],[Actual Time (MH)]])*Table_6712[[#This Row],[Estimated '# of Months]]/8</f>
        <v>264</v>
      </c>
      <c r="H14" s="37">
        <f>Table_6712[[#This Row],[Total cost USD]]*3.75</f>
        <v>626670</v>
      </c>
    </row>
    <row r="15" spans="1:8" ht="17.100000000000001">
      <c r="A15" s="197" t="s">
        <v>157</v>
      </c>
      <c r="B15" s="198">
        <f>VLOOKUP(A:A,Positions2024!A:B,2,0)</f>
        <v>56.25</v>
      </c>
      <c r="C15" s="127">
        <v>176</v>
      </c>
      <c r="D15" s="129">
        <f>Table_6712[[#This Row],[Hour Rate ($)]]*Table_6712[[#This Row],[Actual Time (MH)]]</f>
        <v>9900</v>
      </c>
      <c r="E15" s="128">
        <v>12</v>
      </c>
      <c r="F15" s="206">
        <f>Table_6712[[#This Row],[Estimated '# of Months]]*Table_6712[[#This Row],[Cost per month]]</f>
        <v>118800</v>
      </c>
      <c r="G15" s="165">
        <f>(Table_6712[[#This Row],[Actual Time (MH)]])*Table_6712[[#This Row],[Estimated '# of Months]]/8</f>
        <v>264</v>
      </c>
      <c r="H15" s="37">
        <f>Table_6712[[#This Row],[Total cost USD]]*3.75</f>
        <v>445500</v>
      </c>
    </row>
    <row r="16" spans="1:8" ht="17.100000000000001">
      <c r="A16" s="197" t="s">
        <v>157</v>
      </c>
      <c r="B16" s="198">
        <f>VLOOKUP(A:A,Positions2024!A:B,2,0)</f>
        <v>56.25</v>
      </c>
      <c r="C16" s="127">
        <v>176</v>
      </c>
      <c r="D16" s="129">
        <f>Table_6712[[#This Row],[Hour Rate ($)]]*Table_6712[[#This Row],[Actual Time (MH)]]</f>
        <v>9900</v>
      </c>
      <c r="E16" s="128">
        <v>12</v>
      </c>
      <c r="F16" s="206">
        <f>Table_6712[[#This Row],[Estimated '# of Months]]*Table_6712[[#This Row],[Cost per month]]</f>
        <v>118800</v>
      </c>
      <c r="G16" s="165">
        <f>(Table_6712[[#This Row],[Actual Time (MH)]])*Table_6712[[#This Row],[Estimated '# of Months]]/8</f>
        <v>264</v>
      </c>
      <c r="H16" s="37">
        <f>Table_6712[[#This Row],[Total cost USD]]*3.75</f>
        <v>445500</v>
      </c>
    </row>
    <row r="17" spans="1:7" ht="18">
      <c r="B17" s="28"/>
      <c r="C17" s="73"/>
      <c r="D17" s="61"/>
      <c r="E17" s="61"/>
      <c r="F17" s="199">
        <f>SUM(Table_6712[Total cost USD])</f>
        <v>1283040</v>
      </c>
      <c r="G17" s="199">
        <f>SUBTOTAL(109,Table_6712[Total No of MDs])</f>
        <v>1848</v>
      </c>
    </row>
    <row r="18" spans="1:7" ht="14.45">
      <c r="A18" s="272"/>
      <c r="B18" s="28"/>
      <c r="C18" s="73"/>
    </row>
    <row r="19" spans="1:7" ht="14.45">
      <c r="A19" s="276"/>
      <c r="C19" s="119" t="s">
        <v>255</v>
      </c>
      <c r="D19" s="120">
        <f>SUM(D7:D16)</f>
        <v>166188</v>
      </c>
      <c r="E19" s="120"/>
    </row>
    <row r="20" spans="1:7" ht="14.45">
      <c r="B20" s="2"/>
      <c r="C20" s="117" t="s">
        <v>256</v>
      </c>
      <c r="D20" s="122">
        <f>D19*3.75</f>
        <v>623205</v>
      </c>
      <c r="E20" s="118"/>
    </row>
    <row r="21" spans="1:7" ht="15" customHeight="1">
      <c r="C21" s="123" t="s">
        <v>267</v>
      </c>
      <c r="D21" s="125">
        <f>SUM(C7:C16)/8</f>
        <v>220</v>
      </c>
      <c r="E21" s="124"/>
    </row>
    <row r="22" spans="1:7" ht="15" customHeight="1">
      <c r="C22" s="117" t="s">
        <v>268</v>
      </c>
      <c r="D22" s="122">
        <f>D20/D21</f>
        <v>2832.75</v>
      </c>
      <c r="E22" s="118"/>
      <c r="G22" s="209">
        <f>700*Table_6712[[#Totals],[Total No of MDs]]</f>
        <v>1293600</v>
      </c>
    </row>
    <row r="23" spans="1:7" ht="15" customHeight="1">
      <c r="C23" s="115" t="s">
        <v>269</v>
      </c>
      <c r="D23" s="116">
        <f>Table_6712[[#Totals],[Total cost USD]]*3.75</f>
        <v>4811400</v>
      </c>
      <c r="E23" s="116"/>
      <c r="G23" s="37">
        <f>G22*3.75</f>
        <v>4851000</v>
      </c>
    </row>
    <row r="37" ht="14.1"/>
    <row r="38" ht="14.1"/>
    <row r="41" ht="14.1"/>
    <row r="42" ht="14.1"/>
    <row r="43" ht="14.1"/>
  </sheetData>
  <mergeCells count="2">
    <mergeCell ref="A5:D5"/>
    <mergeCell ref="A18:A19"/>
  </mergeCells>
  <phoneticPr fontId="28" type="noConversion"/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748787-B8F8-4502-B9AB-E45792B3315F}">
          <x14:formula1>
            <xm:f>Positions2024!$A$2:$A$37</xm:f>
          </x14:formula1>
          <xm:sqref>A7:A16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BD57F-F213-405D-826B-A1DB31E33303}">
  <dimension ref="A1:H15"/>
  <sheetViews>
    <sheetView showGridLines="0" topLeftCell="A3" zoomScale="77" zoomScaleNormal="80" workbookViewId="0">
      <selection activeCell="I9" sqref="I9"/>
    </sheetView>
  </sheetViews>
  <sheetFormatPr defaultColWidth="9.375" defaultRowHeight="15" customHeight="1"/>
  <cols>
    <col min="1" max="1" width="32" customWidth="1"/>
    <col min="2" max="2" width="20.375" customWidth="1"/>
    <col min="3" max="3" width="40.375" style="36" bestFit="1" customWidth="1"/>
    <col min="4" max="5" width="19" customWidth="1"/>
    <col min="6" max="6" width="14.375" bestFit="1" customWidth="1"/>
    <col min="8" max="8" width="14.375" customWidth="1"/>
    <col min="9" max="9" width="18.375" customWidth="1"/>
    <col min="10" max="10" width="14" customWidth="1"/>
  </cols>
  <sheetData>
    <row r="1" spans="1:8" ht="14.1"/>
    <row r="2" spans="1:8" ht="14.1"/>
    <row r="3" spans="1:8" ht="14.1"/>
    <row r="4" spans="1:8" ht="14.1"/>
    <row r="5" spans="1:8" ht="18">
      <c r="A5" s="275"/>
      <c r="B5" s="275"/>
      <c r="C5" s="275"/>
      <c r="D5" s="275"/>
      <c r="E5" s="110"/>
      <c r="F5" s="130"/>
      <c r="G5" s="130"/>
    </row>
    <row r="6" spans="1:8" ht="34.5" thickBot="1">
      <c r="A6" s="22" t="s">
        <v>117</v>
      </c>
      <c r="B6" s="126" t="s">
        <v>118</v>
      </c>
      <c r="C6" s="38" t="s">
        <v>220</v>
      </c>
      <c r="D6" s="22" t="s">
        <v>259</v>
      </c>
      <c r="E6" s="38" t="s">
        <v>260</v>
      </c>
      <c r="F6" s="38" t="s">
        <v>261</v>
      </c>
      <c r="G6" s="38" t="s">
        <v>262</v>
      </c>
      <c r="H6" t="s">
        <v>263</v>
      </c>
    </row>
    <row r="7" spans="1:8" ht="18" thickTop="1" thickBot="1">
      <c r="A7" s="197" t="s">
        <v>270</v>
      </c>
      <c r="B7" s="198">
        <f>VLOOKUP(A:A,Positions2024!A:B,2,0)</f>
        <v>56.25</v>
      </c>
      <c r="C7" s="127">
        <v>176</v>
      </c>
      <c r="D7" s="129">
        <f>Table_67122[[#This Row],[Hour Rate ($)]]*Table_67122[[#This Row],[Actual Time (MH)]]</f>
        <v>9900</v>
      </c>
      <c r="E7" s="128">
        <v>12</v>
      </c>
      <c r="F7" s="171">
        <f>Table_67122[[#This Row],[Estimated '# of Months]]*Table_67122[[#This Row],[Cost per month]]</f>
        <v>118800</v>
      </c>
      <c r="G7" s="165">
        <f>(Table_67122[[#This Row],[Actual Time (MH)]])*Table_67122[[#This Row],[Estimated '# of Months]]/8</f>
        <v>264</v>
      </c>
      <c r="H7" s="37">
        <f>Table_67122[[#This Row],[Total cost USD]]*3.75</f>
        <v>445500</v>
      </c>
    </row>
    <row r="8" spans="1:8" ht="17.45" thickTop="1">
      <c r="A8" s="197" t="s">
        <v>266</v>
      </c>
      <c r="B8" s="198">
        <f>VLOOKUP(A:A,Positions2024!A:B,2,0)</f>
        <v>79.125</v>
      </c>
      <c r="C8" s="127">
        <v>176</v>
      </c>
      <c r="D8" s="129">
        <f>Table_67122[[#This Row],[Hour Rate ($)]]*Table_67122[[#This Row],[Actual Time (MH)]]</f>
        <v>13926</v>
      </c>
      <c r="E8" s="128">
        <v>12</v>
      </c>
      <c r="F8" s="171">
        <f>Table_67122[[#This Row],[Estimated '# of Months]]*Table_67122[[#This Row],[Cost per month]]</f>
        <v>167112</v>
      </c>
      <c r="G8" s="165">
        <f>(Table_67122[[#This Row],[Actual Time (MH)]])*Table_67122[[#This Row],[Estimated '# of Months]]/8</f>
        <v>264</v>
      </c>
      <c r="H8" s="37">
        <f>Table_67122[[#This Row],[Total cost USD]]*3.75</f>
        <v>626670</v>
      </c>
    </row>
    <row r="9" spans="1:8" ht="18">
      <c r="B9" s="28"/>
      <c r="C9" s="73"/>
      <c r="D9" s="61"/>
      <c r="E9" s="61"/>
      <c r="F9" s="199">
        <f>SUM(Table_67122[Total cost USD])</f>
        <v>285912</v>
      </c>
      <c r="G9" s="199">
        <f>SUBTOTAL(109,Table_67122[Total No of MDs])</f>
        <v>528</v>
      </c>
    </row>
    <row r="10" spans="1:8" ht="14.45">
      <c r="A10" s="272"/>
      <c r="B10" s="28"/>
      <c r="C10" s="73"/>
    </row>
    <row r="11" spans="1:8" ht="15" customHeight="1">
      <c r="A11" s="276"/>
      <c r="C11" s="119" t="s">
        <v>255</v>
      </c>
      <c r="D11" s="121">
        <f>SUM(D7:D8)</f>
        <v>23826</v>
      </c>
      <c r="E11" s="120"/>
    </row>
    <row r="12" spans="1:8" ht="15" customHeight="1">
      <c r="B12" s="2"/>
      <c r="C12" s="117" t="s">
        <v>256</v>
      </c>
      <c r="D12" s="122">
        <f>D11*3.75</f>
        <v>89347.5</v>
      </c>
      <c r="E12" s="118"/>
    </row>
    <row r="13" spans="1:8" ht="14.45">
      <c r="C13" s="123" t="s">
        <v>267</v>
      </c>
      <c r="D13" s="125">
        <f>(SUM(Table_67122[Actual Time (MH)]))/8</f>
        <v>44</v>
      </c>
      <c r="E13" s="124"/>
    </row>
    <row r="14" spans="1:8" ht="14.45">
      <c r="C14" s="117" t="s">
        <v>268</v>
      </c>
      <c r="D14" s="122">
        <f>D12/D13</f>
        <v>2030.625</v>
      </c>
      <c r="E14" s="118"/>
    </row>
    <row r="15" spans="1:8" ht="14.1">
      <c r="C15" s="115" t="s">
        <v>269</v>
      </c>
      <c r="D15" s="116">
        <f>Table_67122[[#Totals],[Total cost USD]]*3.75</f>
        <v>1072170</v>
      </c>
      <c r="E15" s="116"/>
    </row>
  </sheetData>
  <mergeCells count="2">
    <mergeCell ref="A5:D5"/>
    <mergeCell ref="A10:A1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37B3B7-E320-4438-8F8E-66DDE3D4FCE6}">
          <x14:formula1>
            <xm:f>Positions2024!$A$2:$A$37</xm:f>
          </x14:formula1>
          <xm:sqref>A7:A8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topLeftCell="A17" workbookViewId="0">
      <selection activeCell="J30" sqref="J30"/>
    </sheetView>
  </sheetViews>
  <sheetFormatPr defaultRowHeight="14.1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92A5C-BC8C-4B9C-B106-7534E6C80336}">
  <dimension ref="A1:H1000"/>
  <sheetViews>
    <sheetView topLeftCell="A8" workbookViewId="0">
      <selection activeCell="F27" sqref="F27"/>
    </sheetView>
  </sheetViews>
  <sheetFormatPr defaultColWidth="14.375" defaultRowHeight="14.1"/>
  <cols>
    <col min="1" max="1" width="34.375" customWidth="1"/>
    <col min="2" max="2" width="14.375" customWidth="1"/>
    <col min="3" max="3" width="12.375" customWidth="1"/>
    <col min="4" max="5" width="8.375" customWidth="1"/>
  </cols>
  <sheetData>
    <row r="1" spans="1:8" ht="18.600000000000001">
      <c r="A1" s="77" t="s">
        <v>117</v>
      </c>
      <c r="B1" s="77" t="s">
        <v>271</v>
      </c>
      <c r="C1" s="77" t="s">
        <v>272</v>
      </c>
      <c r="F1" s="59" t="s">
        <v>273</v>
      </c>
    </row>
    <row r="2" spans="1:8" ht="14.45">
      <c r="A2" s="78" t="s">
        <v>270</v>
      </c>
      <c r="B2" s="79">
        <f>C2/8</f>
        <v>56.25</v>
      </c>
      <c r="C2" s="80" t="s">
        <v>274</v>
      </c>
      <c r="F2" s="59" t="s">
        <v>116</v>
      </c>
      <c r="G2" t="s">
        <v>271</v>
      </c>
    </row>
    <row r="3" spans="1:8" ht="14.45">
      <c r="A3" s="81" t="s">
        <v>266</v>
      </c>
      <c r="B3" s="82">
        <f t="shared" ref="B3:B24" si="0">C3/8</f>
        <v>79.125</v>
      </c>
      <c r="C3" s="83" t="s">
        <v>275</v>
      </c>
      <c r="F3" s="78" t="s">
        <v>276</v>
      </c>
      <c r="G3" s="193">
        <v>21.3</v>
      </c>
      <c r="H3" s="80"/>
    </row>
    <row r="4" spans="1:8" ht="14.45">
      <c r="A4" s="78" t="s">
        <v>265</v>
      </c>
      <c r="B4" s="79">
        <f t="shared" si="0"/>
        <v>56.25</v>
      </c>
      <c r="C4" s="80" t="s">
        <v>274</v>
      </c>
      <c r="F4" s="81" t="s">
        <v>277</v>
      </c>
      <c r="G4" s="194">
        <v>21.3</v>
      </c>
      <c r="H4" s="83"/>
    </row>
    <row r="5" spans="1:8" ht="14.45">
      <c r="A5" s="81" t="s">
        <v>264</v>
      </c>
      <c r="B5" s="82">
        <f t="shared" si="0"/>
        <v>79.125</v>
      </c>
      <c r="C5" s="83" t="s">
        <v>275</v>
      </c>
      <c r="F5" s="78" t="s">
        <v>278</v>
      </c>
      <c r="G5" s="193">
        <v>14.7</v>
      </c>
      <c r="H5" s="80"/>
    </row>
    <row r="6" spans="1:8" ht="14.45">
      <c r="A6" s="78" t="s">
        <v>230</v>
      </c>
      <c r="B6" s="79">
        <f t="shared" si="0"/>
        <v>87</v>
      </c>
      <c r="C6" s="80" t="s">
        <v>279</v>
      </c>
      <c r="F6" s="81" t="s">
        <v>280</v>
      </c>
      <c r="G6" s="194">
        <v>31</v>
      </c>
      <c r="H6" s="83"/>
    </row>
    <row r="7" spans="1:8" ht="14.45">
      <c r="A7" s="81" t="s">
        <v>157</v>
      </c>
      <c r="B7" s="82">
        <f t="shared" si="0"/>
        <v>56.25</v>
      </c>
      <c r="C7" s="83" t="s">
        <v>274</v>
      </c>
      <c r="F7" s="78" t="s">
        <v>281</v>
      </c>
      <c r="G7" s="193">
        <v>13.3</v>
      </c>
      <c r="H7" s="80"/>
    </row>
    <row r="8" spans="1:8" ht="14.45">
      <c r="A8" s="78" t="s">
        <v>158</v>
      </c>
      <c r="B8" s="79">
        <f t="shared" si="0"/>
        <v>79.125</v>
      </c>
      <c r="C8" s="80" t="s">
        <v>275</v>
      </c>
      <c r="F8" s="81" t="s">
        <v>282</v>
      </c>
      <c r="G8" s="194">
        <v>25.8</v>
      </c>
      <c r="H8" s="83"/>
    </row>
    <row r="9" spans="1:8" ht="14.45">
      <c r="A9" s="81" t="s">
        <v>283</v>
      </c>
      <c r="B9" s="82">
        <f t="shared" si="0"/>
        <v>87</v>
      </c>
      <c r="C9" s="83" t="s">
        <v>279</v>
      </c>
      <c r="F9" s="78" t="s">
        <v>284</v>
      </c>
      <c r="G9" s="193">
        <v>19.3</v>
      </c>
      <c r="H9" s="80"/>
    </row>
    <row r="10" spans="1:8" ht="14.45">
      <c r="A10" s="78" t="s">
        <v>138</v>
      </c>
      <c r="B10" s="79">
        <f t="shared" si="0"/>
        <v>112.25</v>
      </c>
      <c r="C10" s="83" t="s">
        <v>285</v>
      </c>
      <c r="F10" s="81" t="s">
        <v>286</v>
      </c>
      <c r="G10" s="194">
        <v>12.8</v>
      </c>
      <c r="H10" s="83"/>
    </row>
    <row r="11" spans="1:8" ht="14.45">
      <c r="A11" s="81" t="s">
        <v>126</v>
      </c>
      <c r="B11" s="82">
        <f t="shared" si="0"/>
        <v>112.25</v>
      </c>
      <c r="C11" s="83" t="s">
        <v>285</v>
      </c>
      <c r="F11" s="78" t="s">
        <v>287</v>
      </c>
      <c r="G11" s="193">
        <v>25.8</v>
      </c>
      <c r="H11" s="80"/>
    </row>
    <row r="12" spans="1:8" ht="14.45">
      <c r="A12" s="78" t="s">
        <v>130</v>
      </c>
      <c r="B12" s="79">
        <f t="shared" si="0"/>
        <v>27.875</v>
      </c>
      <c r="C12" s="80" t="s">
        <v>288</v>
      </c>
      <c r="F12" s="81" t="s">
        <v>289</v>
      </c>
      <c r="G12" s="194">
        <v>19.3</v>
      </c>
      <c r="H12" s="83"/>
    </row>
    <row r="13" spans="1:8" ht="14.45">
      <c r="A13" s="81" t="s">
        <v>233</v>
      </c>
      <c r="B13" s="82">
        <f t="shared" si="0"/>
        <v>31.625</v>
      </c>
      <c r="C13" s="83" t="s">
        <v>290</v>
      </c>
      <c r="F13" s="78" t="s">
        <v>291</v>
      </c>
      <c r="G13" s="193">
        <v>25.8</v>
      </c>
      <c r="H13" s="80"/>
    </row>
    <row r="14" spans="1:8" ht="14.45">
      <c r="A14" s="78" t="s">
        <v>134</v>
      </c>
      <c r="B14" s="79">
        <f t="shared" si="0"/>
        <v>34.625</v>
      </c>
      <c r="C14" s="80" t="s">
        <v>292</v>
      </c>
      <c r="F14" s="81" t="s">
        <v>293</v>
      </c>
      <c r="G14" s="194">
        <v>16</v>
      </c>
      <c r="H14" s="83"/>
    </row>
    <row r="15" spans="1:8" ht="14.45">
      <c r="A15" s="81" t="s">
        <v>173</v>
      </c>
      <c r="B15" s="82">
        <f t="shared" si="0"/>
        <v>27.875</v>
      </c>
      <c r="C15" s="83" t="s">
        <v>288</v>
      </c>
      <c r="F15" s="78" t="s">
        <v>294</v>
      </c>
      <c r="G15" s="193">
        <v>13.3</v>
      </c>
      <c r="H15" s="80"/>
    </row>
    <row r="16" spans="1:8" ht="14.45">
      <c r="A16" s="78" t="s">
        <v>136</v>
      </c>
      <c r="B16" s="79">
        <f t="shared" si="0"/>
        <v>29.375</v>
      </c>
      <c r="C16" s="80" t="s">
        <v>295</v>
      </c>
      <c r="F16" s="81" t="s">
        <v>296</v>
      </c>
      <c r="G16" s="194">
        <v>25.8</v>
      </c>
      <c r="H16" s="83"/>
    </row>
    <row r="17" spans="1:8" ht="14.45">
      <c r="A17" s="81" t="s">
        <v>141</v>
      </c>
      <c r="B17" s="82">
        <f t="shared" si="0"/>
        <v>34.625</v>
      </c>
      <c r="C17" s="83" t="s">
        <v>292</v>
      </c>
      <c r="F17" s="78" t="s">
        <v>297</v>
      </c>
      <c r="G17" s="193">
        <v>19.3</v>
      </c>
      <c r="H17" s="80"/>
    </row>
    <row r="18" spans="1:8" ht="14.45">
      <c r="A18" s="78" t="s">
        <v>132</v>
      </c>
      <c r="B18" s="79">
        <f t="shared" si="0"/>
        <v>37.625</v>
      </c>
      <c r="C18" s="80" t="s">
        <v>298</v>
      </c>
      <c r="F18" s="81" t="s">
        <v>299</v>
      </c>
      <c r="G18" s="194">
        <v>21.3</v>
      </c>
      <c r="H18" s="83"/>
    </row>
    <row r="19" spans="1:8" ht="14.45">
      <c r="A19" s="81" t="s">
        <v>243</v>
      </c>
      <c r="B19" s="82">
        <f t="shared" si="0"/>
        <v>27.875</v>
      </c>
      <c r="C19" s="83" t="s">
        <v>288</v>
      </c>
      <c r="F19" s="78" t="s">
        <v>300</v>
      </c>
      <c r="G19" s="193">
        <v>31</v>
      </c>
      <c r="H19" s="80"/>
    </row>
    <row r="20" spans="1:8" ht="14.45">
      <c r="A20" s="78" t="s">
        <v>241</v>
      </c>
      <c r="B20" s="79">
        <f t="shared" si="0"/>
        <v>31.625</v>
      </c>
      <c r="C20" s="80" t="s">
        <v>290</v>
      </c>
      <c r="F20" s="81" t="s">
        <v>301</v>
      </c>
      <c r="G20" s="194">
        <v>26.5</v>
      </c>
      <c r="H20" s="83"/>
    </row>
    <row r="21" spans="1:8" ht="15.75" customHeight="1">
      <c r="A21" s="81" t="s">
        <v>302</v>
      </c>
      <c r="B21" s="82">
        <f t="shared" si="0"/>
        <v>34.625</v>
      </c>
      <c r="C21" s="83" t="s">
        <v>292</v>
      </c>
    </row>
    <row r="22" spans="1:8" ht="15.75" customHeight="1">
      <c r="A22" s="78" t="s">
        <v>246</v>
      </c>
      <c r="B22" s="79">
        <f t="shared" si="0"/>
        <v>27.875</v>
      </c>
      <c r="C22" s="80" t="s">
        <v>288</v>
      </c>
    </row>
    <row r="23" spans="1:8" ht="15.75" customHeight="1">
      <c r="A23" s="81" t="s">
        <v>128</v>
      </c>
      <c r="B23" s="82">
        <f t="shared" si="0"/>
        <v>31.625</v>
      </c>
      <c r="C23" s="83" t="s">
        <v>290</v>
      </c>
    </row>
    <row r="24" spans="1:8" ht="15.75" customHeight="1">
      <c r="A24" s="78" t="s">
        <v>166</v>
      </c>
      <c r="B24" s="79">
        <f t="shared" si="0"/>
        <v>34.625</v>
      </c>
      <c r="C24" s="80" t="s">
        <v>292</v>
      </c>
    </row>
    <row r="25" spans="1:8" ht="15.75" customHeight="1">
      <c r="A25" s="81" t="s">
        <v>303</v>
      </c>
      <c r="B25" s="195">
        <v>45.215000000000003</v>
      </c>
      <c r="C25" s="83">
        <f>B25*8</f>
        <v>361.72</v>
      </c>
    </row>
    <row r="26" spans="1:8" ht="15.75" customHeight="1">
      <c r="A26" s="81" t="s">
        <v>171</v>
      </c>
      <c r="B26" s="195">
        <v>51.631250000000001</v>
      </c>
      <c r="C26" s="83">
        <f t="shared" ref="C26:C37" si="1">B26*8</f>
        <v>413.05</v>
      </c>
    </row>
    <row r="27" spans="1:8" ht="15.75" customHeight="1">
      <c r="A27" s="81" t="s">
        <v>144</v>
      </c>
      <c r="B27" s="195">
        <v>58.298749999999998</v>
      </c>
      <c r="C27" s="83">
        <f t="shared" si="1"/>
        <v>466.39</v>
      </c>
    </row>
    <row r="28" spans="1:8" ht="15.75" customHeight="1">
      <c r="A28" s="81" t="s">
        <v>154</v>
      </c>
      <c r="B28" s="195">
        <v>45.215000000000003</v>
      </c>
      <c r="C28" s="83">
        <f t="shared" si="1"/>
        <v>361.72</v>
      </c>
    </row>
    <row r="29" spans="1:8" ht="15.75" customHeight="1">
      <c r="A29" s="81" t="s">
        <v>146</v>
      </c>
      <c r="B29" s="195">
        <v>51.631250000000001</v>
      </c>
      <c r="C29" s="83">
        <f t="shared" si="1"/>
        <v>413.05</v>
      </c>
    </row>
    <row r="30" spans="1:8" ht="15.75" customHeight="1">
      <c r="A30" s="81" t="s">
        <v>142</v>
      </c>
      <c r="B30" s="195">
        <v>58.298749999999998</v>
      </c>
      <c r="C30" s="83">
        <f t="shared" si="1"/>
        <v>466.39</v>
      </c>
    </row>
    <row r="31" spans="1:8" ht="15.75" customHeight="1">
      <c r="A31" s="81" t="s">
        <v>304</v>
      </c>
      <c r="B31" s="195">
        <v>63.131250000000001</v>
      </c>
      <c r="C31" s="83">
        <f t="shared" si="1"/>
        <v>505.05</v>
      </c>
    </row>
    <row r="32" spans="1:8" ht="15.75" customHeight="1">
      <c r="A32" s="81" t="s">
        <v>305</v>
      </c>
      <c r="B32" s="195">
        <v>45.215000000000003</v>
      </c>
      <c r="C32" s="83">
        <f t="shared" si="1"/>
        <v>361.72</v>
      </c>
    </row>
    <row r="33" spans="1:3" ht="15.75" customHeight="1">
      <c r="A33" s="81" t="s">
        <v>306</v>
      </c>
      <c r="B33" s="195">
        <v>51.631250000000001</v>
      </c>
      <c r="C33" s="83">
        <f t="shared" si="1"/>
        <v>413.05</v>
      </c>
    </row>
    <row r="34" spans="1:3" ht="15.75" customHeight="1">
      <c r="A34" s="81" t="s">
        <v>307</v>
      </c>
      <c r="B34" s="195">
        <v>58.298749999999998</v>
      </c>
      <c r="C34" s="83">
        <f t="shared" si="1"/>
        <v>466.39</v>
      </c>
    </row>
    <row r="35" spans="1:3" ht="15.75" customHeight="1">
      <c r="A35" s="81" t="s">
        <v>308</v>
      </c>
      <c r="B35" s="195">
        <v>45.215000000000003</v>
      </c>
      <c r="C35" s="83">
        <f t="shared" si="1"/>
        <v>361.72</v>
      </c>
    </row>
    <row r="36" spans="1:3" ht="15.75" customHeight="1">
      <c r="A36" s="81" t="s">
        <v>309</v>
      </c>
      <c r="B36" s="195">
        <v>51.631250000000001</v>
      </c>
      <c r="C36" s="83">
        <f t="shared" si="1"/>
        <v>413.05</v>
      </c>
    </row>
    <row r="37" spans="1:3" ht="15.75" customHeight="1">
      <c r="A37" s="81" t="s">
        <v>310</v>
      </c>
      <c r="B37" s="196">
        <v>58.298749999999998</v>
      </c>
      <c r="C37" s="83">
        <f t="shared" si="1"/>
        <v>466.39</v>
      </c>
    </row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82"/>
  <sheetViews>
    <sheetView workbookViewId="0">
      <selection activeCell="B10" sqref="B10"/>
    </sheetView>
  </sheetViews>
  <sheetFormatPr defaultColWidth="14.375" defaultRowHeight="14.1"/>
  <cols>
    <col min="1" max="1" width="30.375" customWidth="1"/>
    <col min="2" max="2" width="14.375" customWidth="1"/>
    <col min="3" max="3" width="12.375" customWidth="1"/>
    <col min="4" max="6" width="8.375" customWidth="1"/>
  </cols>
  <sheetData>
    <row r="1" spans="1:3" ht="18.600000000000001">
      <c r="A1" s="67" t="s">
        <v>117</v>
      </c>
      <c r="B1" s="67" t="s">
        <v>271</v>
      </c>
      <c r="C1" s="67" t="s">
        <v>272</v>
      </c>
    </row>
    <row r="2" spans="1:3" ht="14.45">
      <c r="A2" s="68" t="s">
        <v>270</v>
      </c>
      <c r="B2" s="7">
        <f>Table_1[[#This Row],[MD Rate]]/8</f>
        <v>37.625</v>
      </c>
      <c r="C2" s="70">
        <v>301</v>
      </c>
    </row>
    <row r="3" spans="1:3" ht="14.45">
      <c r="A3" s="68" t="s">
        <v>266</v>
      </c>
      <c r="B3" s="7">
        <f>Table_1[[#This Row],[MD Rate]]/8</f>
        <v>54.125</v>
      </c>
      <c r="C3" s="70">
        <v>433</v>
      </c>
    </row>
    <row r="4" spans="1:3" ht="14.45">
      <c r="A4" s="68" t="s">
        <v>265</v>
      </c>
      <c r="B4" s="7">
        <f>Table_1[[#This Row],[MD Rate]]/8</f>
        <v>43.75</v>
      </c>
      <c r="C4" s="70">
        <v>350</v>
      </c>
    </row>
    <row r="5" spans="1:3" ht="14.45">
      <c r="A5" s="68" t="s">
        <v>264</v>
      </c>
      <c r="B5" s="7">
        <f>Table_1[[#This Row],[MD Rate]]/8</f>
        <v>56.125</v>
      </c>
      <c r="C5" s="70">
        <v>449</v>
      </c>
    </row>
    <row r="6" spans="1:3" ht="14.45">
      <c r="A6" s="68" t="s">
        <v>230</v>
      </c>
      <c r="B6" s="7">
        <f>Table_1[[#This Row],[MD Rate]]/8</f>
        <v>70.25</v>
      </c>
      <c r="C6" s="70">
        <v>562</v>
      </c>
    </row>
    <row r="7" spans="1:3" ht="14.45">
      <c r="A7" s="68" t="s">
        <v>157</v>
      </c>
      <c r="B7" s="7">
        <f>Table_1[[#This Row],[MD Rate]]/8</f>
        <v>37.625</v>
      </c>
      <c r="C7" s="70">
        <v>301</v>
      </c>
    </row>
    <row r="8" spans="1:3" ht="14.45">
      <c r="A8" s="68" t="s">
        <v>158</v>
      </c>
      <c r="B8" s="7">
        <f>Table_1[[#This Row],[MD Rate]]/8</f>
        <v>72.5</v>
      </c>
      <c r="C8" s="70">
        <v>580</v>
      </c>
    </row>
    <row r="9" spans="1:3" ht="14.45">
      <c r="A9" s="68" t="s">
        <v>283</v>
      </c>
      <c r="B9" s="7">
        <f>Table_1[[#This Row],[MD Rate]]/8</f>
        <v>80.375</v>
      </c>
      <c r="C9" s="70">
        <v>643</v>
      </c>
    </row>
    <row r="10" spans="1:3" ht="15.75" customHeight="1">
      <c r="A10" s="2" t="s">
        <v>228</v>
      </c>
      <c r="B10" s="7">
        <f>Table_1[[#This Row],[MD Rate]]/8</f>
        <v>96.75</v>
      </c>
      <c r="C10" s="70">
        <v>774</v>
      </c>
    </row>
    <row r="11" spans="1:3" ht="15.75" customHeight="1">
      <c r="A11" s="2" t="s">
        <v>126</v>
      </c>
      <c r="B11" s="7">
        <f>Table_1[[#This Row],[MD Rate]]/8</f>
        <v>78.25</v>
      </c>
      <c r="C11" s="70">
        <v>626</v>
      </c>
    </row>
    <row r="12" spans="1:3" ht="15.75" customHeight="1">
      <c r="A12" s="2" t="s">
        <v>130</v>
      </c>
      <c r="B12" s="76">
        <f>Table_1[[#This Row],[MD Rate]]/8</f>
        <v>17.625</v>
      </c>
      <c r="C12" s="70">
        <v>141</v>
      </c>
    </row>
    <row r="13" spans="1:3" ht="15.75" customHeight="1">
      <c r="A13" s="2" t="s">
        <v>233</v>
      </c>
      <c r="B13" s="7">
        <f>Table_1[[#This Row],[MD Rate]]/8</f>
        <v>20</v>
      </c>
      <c r="C13" s="70">
        <v>160</v>
      </c>
    </row>
    <row r="14" spans="1:3" ht="15.75" customHeight="1">
      <c r="A14" s="2" t="s">
        <v>134</v>
      </c>
      <c r="B14" s="7">
        <f>Table_1[[#This Row],[MD Rate]]/8</f>
        <v>26.25</v>
      </c>
      <c r="C14" s="70">
        <v>210</v>
      </c>
    </row>
    <row r="15" spans="1:3" ht="15.75" customHeight="1">
      <c r="A15" s="2" t="s">
        <v>173</v>
      </c>
      <c r="B15" s="7">
        <f>Table_1[[#This Row],[MD Rate]]/8</f>
        <v>17.625</v>
      </c>
      <c r="C15" s="70">
        <v>141</v>
      </c>
    </row>
    <row r="16" spans="1:3" ht="15.75" customHeight="1">
      <c r="A16" s="2" t="s">
        <v>136</v>
      </c>
      <c r="B16" s="7">
        <f>Table_1[[#This Row],[MD Rate]]/8</f>
        <v>22.375</v>
      </c>
      <c r="C16" s="70">
        <v>179</v>
      </c>
    </row>
    <row r="17" spans="1:3" ht="15.75" customHeight="1">
      <c r="A17" s="2" t="s">
        <v>141</v>
      </c>
      <c r="B17" s="7">
        <f>Table_1[[#This Row],[MD Rate]]/8</f>
        <v>26.75</v>
      </c>
      <c r="C17" s="70">
        <v>214</v>
      </c>
    </row>
    <row r="18" spans="1:3" ht="15.75" customHeight="1">
      <c r="A18" s="2" t="s">
        <v>132</v>
      </c>
      <c r="B18" s="7">
        <f>Table_1[[#This Row],[MD Rate]]/8</f>
        <v>32</v>
      </c>
      <c r="C18" s="70">
        <v>256</v>
      </c>
    </row>
    <row r="19" spans="1:3" ht="15.75" customHeight="1">
      <c r="A19" s="2" t="s">
        <v>243</v>
      </c>
      <c r="B19" s="7">
        <f>Table_1[[#This Row],[MD Rate]]/8</f>
        <v>14.25</v>
      </c>
      <c r="C19" s="70">
        <v>114</v>
      </c>
    </row>
    <row r="20" spans="1:3" ht="15.75" customHeight="1">
      <c r="A20" s="2" t="s">
        <v>241</v>
      </c>
      <c r="B20" s="7">
        <f>Table_1[[#This Row],[MD Rate]]/8</f>
        <v>19</v>
      </c>
      <c r="C20" s="70">
        <v>152</v>
      </c>
    </row>
    <row r="21" spans="1:3" ht="15.75" customHeight="1">
      <c r="A21" s="2" t="s">
        <v>302</v>
      </c>
      <c r="B21" s="7">
        <f>Table_1[[#This Row],[MD Rate]]/8</f>
        <v>25.75</v>
      </c>
      <c r="C21" s="70">
        <v>206</v>
      </c>
    </row>
    <row r="22" spans="1:3" ht="15.75" customHeight="1">
      <c r="A22" s="2" t="s">
        <v>246</v>
      </c>
      <c r="B22" s="7">
        <f>Table_1[[#This Row],[MD Rate]]/8</f>
        <v>15.25</v>
      </c>
      <c r="C22" s="70">
        <v>122</v>
      </c>
    </row>
    <row r="23" spans="1:3" ht="15.75" customHeight="1">
      <c r="A23" s="2" t="s">
        <v>128</v>
      </c>
      <c r="B23" s="7">
        <f>Table_1[[#This Row],[MD Rate]]/8</f>
        <v>22.375</v>
      </c>
      <c r="C23" s="70">
        <v>179</v>
      </c>
    </row>
    <row r="24" spans="1:3" ht="15.75" customHeight="1">
      <c r="A24" s="2" t="s">
        <v>166</v>
      </c>
      <c r="B24" s="7">
        <f>Table_1[[#This Row],[MD Rate]]/8</f>
        <v>26.5</v>
      </c>
      <c r="C24" s="70">
        <v>212</v>
      </c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honeticPr fontId="2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4:C4"/>
  <sheetViews>
    <sheetView workbookViewId="0">
      <selection activeCell="B5" sqref="B5"/>
    </sheetView>
  </sheetViews>
  <sheetFormatPr defaultRowHeight="14.1"/>
  <cols>
    <col min="2" max="2" width="19.375" customWidth="1"/>
    <col min="3" max="4" width="13.375" bestFit="1" customWidth="1"/>
    <col min="8" max="8" width="34.375" customWidth="1"/>
    <col min="9" max="9" width="13.375" bestFit="1" customWidth="1"/>
  </cols>
  <sheetData>
    <row r="4" spans="2:3">
      <c r="B4" t="s">
        <v>311</v>
      </c>
      <c r="C4">
        <v>3.75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0B218-2611-489B-BE51-6EABFD995792}">
  <dimension ref="A1:H1000"/>
  <sheetViews>
    <sheetView topLeftCell="A16" workbookViewId="0">
      <selection activeCell="A30" sqref="A30"/>
    </sheetView>
  </sheetViews>
  <sheetFormatPr defaultColWidth="14.375" defaultRowHeight="14.1"/>
  <cols>
    <col min="1" max="1" width="34.375" customWidth="1"/>
    <col min="2" max="2" width="14.375" customWidth="1"/>
    <col min="3" max="3" width="12.375" customWidth="1"/>
    <col min="4" max="5" width="8.375" customWidth="1"/>
  </cols>
  <sheetData>
    <row r="1" spans="1:8" ht="18.600000000000001">
      <c r="A1" s="77" t="s">
        <v>117</v>
      </c>
      <c r="B1" s="77" t="s">
        <v>271</v>
      </c>
      <c r="C1" s="77" t="s">
        <v>272</v>
      </c>
      <c r="F1" s="59" t="s">
        <v>273</v>
      </c>
    </row>
    <row r="2" spans="1:8" ht="14.45">
      <c r="A2" s="78" t="s">
        <v>270</v>
      </c>
      <c r="B2" s="79">
        <f>C2/8</f>
        <v>56.25</v>
      </c>
      <c r="C2" s="80" t="s">
        <v>274</v>
      </c>
      <c r="F2" s="59" t="s">
        <v>116</v>
      </c>
      <c r="G2" t="s">
        <v>271</v>
      </c>
    </row>
    <row r="3" spans="1:8" ht="14.45">
      <c r="A3" s="81" t="s">
        <v>266</v>
      </c>
      <c r="B3" s="82">
        <f t="shared" ref="B3:B24" si="0">C3/8</f>
        <v>79.125</v>
      </c>
      <c r="C3" s="83" t="s">
        <v>275</v>
      </c>
      <c r="F3" s="78" t="s">
        <v>276</v>
      </c>
      <c r="G3" s="193">
        <v>21.3</v>
      </c>
      <c r="H3" s="80"/>
    </row>
    <row r="4" spans="1:8" ht="14.45">
      <c r="A4" s="78" t="s">
        <v>265</v>
      </c>
      <c r="B4" s="79">
        <f t="shared" si="0"/>
        <v>56.25</v>
      </c>
      <c r="C4" s="80" t="s">
        <v>274</v>
      </c>
      <c r="F4" s="81" t="s">
        <v>277</v>
      </c>
      <c r="G4" s="194">
        <v>21.3</v>
      </c>
      <c r="H4" s="83"/>
    </row>
    <row r="5" spans="1:8" ht="14.45">
      <c r="A5" s="81" t="s">
        <v>264</v>
      </c>
      <c r="B5" s="82">
        <f t="shared" si="0"/>
        <v>79.125</v>
      </c>
      <c r="C5" s="83" t="s">
        <v>275</v>
      </c>
      <c r="F5" s="78" t="s">
        <v>278</v>
      </c>
      <c r="G5" s="193">
        <v>14.7</v>
      </c>
      <c r="H5" s="80"/>
    </row>
    <row r="6" spans="1:8" ht="14.45">
      <c r="A6" s="78" t="s">
        <v>230</v>
      </c>
      <c r="B6" s="79">
        <f t="shared" si="0"/>
        <v>87</v>
      </c>
      <c r="C6" s="80" t="s">
        <v>279</v>
      </c>
      <c r="F6" s="81" t="s">
        <v>280</v>
      </c>
      <c r="G6" s="194">
        <v>31</v>
      </c>
      <c r="H6" s="83"/>
    </row>
    <row r="7" spans="1:8" ht="14.45">
      <c r="A7" s="81" t="s">
        <v>157</v>
      </c>
      <c r="B7" s="82">
        <f t="shared" si="0"/>
        <v>56.25</v>
      </c>
      <c r="C7" s="83" t="s">
        <v>274</v>
      </c>
      <c r="F7" s="78" t="s">
        <v>281</v>
      </c>
      <c r="G7" s="193">
        <v>13.3</v>
      </c>
      <c r="H7" s="80"/>
    </row>
    <row r="8" spans="1:8" ht="14.45">
      <c r="A8" s="78" t="s">
        <v>158</v>
      </c>
      <c r="B8" s="79">
        <f t="shared" si="0"/>
        <v>79.125</v>
      </c>
      <c r="C8" s="80" t="s">
        <v>275</v>
      </c>
      <c r="F8" s="81" t="s">
        <v>282</v>
      </c>
      <c r="G8" s="194">
        <v>25.8</v>
      </c>
      <c r="H8" s="83"/>
    </row>
    <row r="9" spans="1:8" ht="14.45">
      <c r="A9" s="81" t="s">
        <v>283</v>
      </c>
      <c r="B9" s="82">
        <f t="shared" si="0"/>
        <v>87</v>
      </c>
      <c r="C9" s="83" t="s">
        <v>279</v>
      </c>
      <c r="F9" s="78" t="s">
        <v>284</v>
      </c>
      <c r="G9" s="193">
        <v>19.3</v>
      </c>
      <c r="H9" s="80"/>
    </row>
    <row r="10" spans="1:8" ht="14.45">
      <c r="A10" s="78" t="s">
        <v>138</v>
      </c>
      <c r="B10" s="79">
        <f t="shared" si="0"/>
        <v>112.25</v>
      </c>
      <c r="C10" s="83" t="s">
        <v>285</v>
      </c>
      <c r="F10" s="81" t="s">
        <v>286</v>
      </c>
      <c r="G10" s="194">
        <v>12.8</v>
      </c>
      <c r="H10" s="83"/>
    </row>
    <row r="11" spans="1:8" ht="14.45">
      <c r="A11" s="81" t="s">
        <v>126</v>
      </c>
      <c r="B11" s="82">
        <f t="shared" si="0"/>
        <v>112.25</v>
      </c>
      <c r="C11" s="83" t="s">
        <v>285</v>
      </c>
      <c r="F11" s="78" t="s">
        <v>287</v>
      </c>
      <c r="G11" s="193">
        <v>25.8</v>
      </c>
      <c r="H11" s="80"/>
    </row>
    <row r="12" spans="1:8" ht="14.45">
      <c r="A12" s="78" t="s">
        <v>130</v>
      </c>
      <c r="B12" s="79">
        <f t="shared" si="0"/>
        <v>27.875</v>
      </c>
      <c r="C12" s="80" t="s">
        <v>288</v>
      </c>
      <c r="F12" s="81" t="s">
        <v>289</v>
      </c>
      <c r="G12" s="194">
        <v>19.3</v>
      </c>
      <c r="H12" s="83"/>
    </row>
    <row r="13" spans="1:8" ht="14.45">
      <c r="A13" s="81" t="s">
        <v>233</v>
      </c>
      <c r="B13" s="82">
        <f t="shared" si="0"/>
        <v>31.625</v>
      </c>
      <c r="C13" s="83" t="s">
        <v>290</v>
      </c>
      <c r="F13" s="78" t="s">
        <v>291</v>
      </c>
      <c r="G13" s="193">
        <v>25.8</v>
      </c>
      <c r="H13" s="80"/>
    </row>
    <row r="14" spans="1:8" ht="14.45">
      <c r="A14" s="78" t="s">
        <v>134</v>
      </c>
      <c r="B14" s="79">
        <f t="shared" si="0"/>
        <v>34.625</v>
      </c>
      <c r="C14" s="80" t="s">
        <v>292</v>
      </c>
      <c r="F14" s="81" t="s">
        <v>293</v>
      </c>
      <c r="G14" s="194">
        <v>16</v>
      </c>
      <c r="H14" s="83"/>
    </row>
    <row r="15" spans="1:8" ht="14.45">
      <c r="A15" s="81" t="s">
        <v>173</v>
      </c>
      <c r="B15" s="82">
        <f t="shared" si="0"/>
        <v>27.875</v>
      </c>
      <c r="C15" s="83" t="s">
        <v>288</v>
      </c>
      <c r="F15" s="78" t="s">
        <v>294</v>
      </c>
      <c r="G15" s="193">
        <v>13.3</v>
      </c>
      <c r="H15" s="80"/>
    </row>
    <row r="16" spans="1:8" ht="14.45">
      <c r="A16" s="78" t="s">
        <v>136</v>
      </c>
      <c r="B16" s="79">
        <f t="shared" si="0"/>
        <v>29.375</v>
      </c>
      <c r="C16" s="80" t="s">
        <v>295</v>
      </c>
      <c r="F16" s="81" t="s">
        <v>296</v>
      </c>
      <c r="G16" s="194">
        <v>25.8</v>
      </c>
      <c r="H16" s="83"/>
    </row>
    <row r="17" spans="1:8" ht="14.45">
      <c r="A17" s="81" t="s">
        <v>141</v>
      </c>
      <c r="B17" s="82">
        <f t="shared" si="0"/>
        <v>34.625</v>
      </c>
      <c r="C17" s="83" t="s">
        <v>292</v>
      </c>
      <c r="F17" s="78" t="s">
        <v>297</v>
      </c>
      <c r="G17" s="193">
        <v>19.3</v>
      </c>
      <c r="H17" s="80"/>
    </row>
    <row r="18" spans="1:8" ht="14.45">
      <c r="A18" s="78" t="s">
        <v>132</v>
      </c>
      <c r="B18" s="79">
        <f t="shared" si="0"/>
        <v>37.625</v>
      </c>
      <c r="C18" s="80" t="s">
        <v>298</v>
      </c>
      <c r="F18" s="81" t="s">
        <v>299</v>
      </c>
      <c r="G18" s="194">
        <v>21.3</v>
      </c>
      <c r="H18" s="83"/>
    </row>
    <row r="19" spans="1:8" ht="14.45">
      <c r="A19" s="81" t="s">
        <v>243</v>
      </c>
      <c r="B19" s="82">
        <f t="shared" si="0"/>
        <v>27.875</v>
      </c>
      <c r="C19" s="83" t="s">
        <v>288</v>
      </c>
      <c r="F19" s="78" t="s">
        <v>300</v>
      </c>
      <c r="G19" s="193">
        <v>31</v>
      </c>
      <c r="H19" s="80"/>
    </row>
    <row r="20" spans="1:8" ht="14.45">
      <c r="A20" s="78" t="s">
        <v>241</v>
      </c>
      <c r="B20" s="79">
        <f t="shared" si="0"/>
        <v>31.625</v>
      </c>
      <c r="C20" s="80" t="s">
        <v>290</v>
      </c>
      <c r="F20" s="81" t="s">
        <v>301</v>
      </c>
      <c r="G20" s="194">
        <v>26.5</v>
      </c>
      <c r="H20" s="83"/>
    </row>
    <row r="21" spans="1:8" ht="15.75" customHeight="1">
      <c r="A21" s="81" t="s">
        <v>302</v>
      </c>
      <c r="B21" s="82">
        <f t="shared" si="0"/>
        <v>34.625</v>
      </c>
      <c r="C21" s="83" t="s">
        <v>292</v>
      </c>
    </row>
    <row r="22" spans="1:8" ht="15.75" customHeight="1">
      <c r="A22" s="78" t="s">
        <v>246</v>
      </c>
      <c r="B22" s="79">
        <f t="shared" si="0"/>
        <v>27.875</v>
      </c>
      <c r="C22" s="80" t="s">
        <v>288</v>
      </c>
    </row>
    <row r="23" spans="1:8" ht="15.75" customHeight="1">
      <c r="A23" s="81" t="s">
        <v>128</v>
      </c>
      <c r="B23" s="82">
        <f t="shared" si="0"/>
        <v>31.625</v>
      </c>
      <c r="C23" s="83" t="s">
        <v>290</v>
      </c>
    </row>
    <row r="24" spans="1:8" ht="15.75" customHeight="1">
      <c r="A24" s="78" t="s">
        <v>166</v>
      </c>
      <c r="B24" s="79">
        <f t="shared" si="0"/>
        <v>34.625</v>
      </c>
      <c r="C24" s="80" t="s">
        <v>292</v>
      </c>
    </row>
    <row r="25" spans="1:8" ht="15.75" customHeight="1">
      <c r="A25" s="81" t="s">
        <v>303</v>
      </c>
      <c r="B25" s="195">
        <v>45.215000000000003</v>
      </c>
      <c r="C25" s="83">
        <f>B25*8</f>
        <v>361.72</v>
      </c>
    </row>
    <row r="26" spans="1:8" ht="15.75" customHeight="1">
      <c r="A26" s="81" t="s">
        <v>171</v>
      </c>
      <c r="B26" s="195">
        <v>51.631250000000001</v>
      </c>
      <c r="C26" s="83">
        <f t="shared" ref="C26:C37" si="1">B26*8</f>
        <v>413.05</v>
      </c>
    </row>
    <row r="27" spans="1:8" ht="15.75" customHeight="1">
      <c r="A27" s="81" t="s">
        <v>144</v>
      </c>
      <c r="B27" s="195">
        <v>58.298749999999998</v>
      </c>
      <c r="C27" s="83">
        <f t="shared" si="1"/>
        <v>466.39</v>
      </c>
    </row>
    <row r="28" spans="1:8" ht="15.75" customHeight="1">
      <c r="A28" s="81" t="s">
        <v>154</v>
      </c>
      <c r="B28" s="195">
        <v>45.215000000000003</v>
      </c>
      <c r="C28" s="83">
        <f t="shared" si="1"/>
        <v>361.72</v>
      </c>
    </row>
    <row r="29" spans="1:8" ht="15.75" customHeight="1">
      <c r="A29" s="81" t="s">
        <v>146</v>
      </c>
      <c r="B29" s="195">
        <v>51.631250000000001</v>
      </c>
      <c r="C29" s="83">
        <f t="shared" si="1"/>
        <v>413.05</v>
      </c>
    </row>
    <row r="30" spans="1:8" ht="15.75" customHeight="1">
      <c r="A30" s="81" t="s">
        <v>142</v>
      </c>
      <c r="B30" s="195">
        <v>58.298749999999998</v>
      </c>
      <c r="C30" s="83">
        <f t="shared" si="1"/>
        <v>466.39</v>
      </c>
    </row>
    <row r="31" spans="1:8" ht="15.75" customHeight="1">
      <c r="A31" s="81" t="s">
        <v>304</v>
      </c>
      <c r="B31" s="195">
        <v>63.131250000000001</v>
      </c>
      <c r="C31" s="83">
        <f t="shared" si="1"/>
        <v>505.05</v>
      </c>
    </row>
    <row r="32" spans="1:8" ht="15.75" customHeight="1">
      <c r="A32" s="81" t="s">
        <v>305</v>
      </c>
      <c r="B32" s="195">
        <v>45.215000000000003</v>
      </c>
      <c r="C32" s="83">
        <f t="shared" si="1"/>
        <v>361.72</v>
      </c>
    </row>
    <row r="33" spans="1:3" ht="15.75" customHeight="1">
      <c r="A33" s="81" t="s">
        <v>306</v>
      </c>
      <c r="B33" s="195">
        <v>51.631250000000001</v>
      </c>
      <c r="C33" s="83">
        <f t="shared" si="1"/>
        <v>413.05</v>
      </c>
    </row>
    <row r="34" spans="1:3" ht="15.75" customHeight="1">
      <c r="A34" s="81" t="s">
        <v>307</v>
      </c>
      <c r="B34" s="195">
        <v>58.298749999999998</v>
      </c>
      <c r="C34" s="83">
        <f t="shared" si="1"/>
        <v>466.39</v>
      </c>
    </row>
    <row r="35" spans="1:3" ht="15.75" customHeight="1">
      <c r="A35" s="81" t="s">
        <v>308</v>
      </c>
      <c r="B35" s="195">
        <v>45.215000000000003</v>
      </c>
      <c r="C35" s="83">
        <f t="shared" si="1"/>
        <v>361.72</v>
      </c>
    </row>
    <row r="36" spans="1:3" ht="15.75" customHeight="1">
      <c r="A36" s="81" t="s">
        <v>309</v>
      </c>
      <c r="B36" s="195">
        <v>51.631250000000001</v>
      </c>
      <c r="C36" s="83">
        <f t="shared" si="1"/>
        <v>413.05</v>
      </c>
    </row>
    <row r="37" spans="1:3" ht="15.75" customHeight="1">
      <c r="A37" s="81" t="s">
        <v>310</v>
      </c>
      <c r="B37" s="196">
        <v>58.298749999999998</v>
      </c>
      <c r="C37" s="83">
        <f t="shared" si="1"/>
        <v>466.39</v>
      </c>
    </row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A155DACD00C041B61F8B3F795C4F4B" ma:contentTypeVersion="11" ma:contentTypeDescription="Create a new document." ma:contentTypeScope="" ma:versionID="266d13c1ff48ec65903d79cdf7ba70d9">
  <xsd:schema xmlns:xsd="http://www.w3.org/2001/XMLSchema" xmlns:xs="http://www.w3.org/2001/XMLSchema" xmlns:p="http://schemas.microsoft.com/office/2006/metadata/properties" xmlns:ns2="b559c103-8b6d-4517-95dc-b706f5faf142" xmlns:ns3="e11e25ea-9a7a-463a-9f4f-7a2f0c94b410" targetNamespace="http://schemas.microsoft.com/office/2006/metadata/properties" ma:root="true" ma:fieldsID="84b620d8b3789ee268e967d0449fcdfd" ns2:_="" ns3:_="">
    <xsd:import namespace="b559c103-8b6d-4517-95dc-b706f5faf142"/>
    <xsd:import namespace="e11e25ea-9a7a-463a-9f4f-7a2f0c94b4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9c103-8b6d-4517-95dc-b706f5faf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6de3c39-39ca-42f2-96c8-f18824765a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1e25ea-9a7a-463a-9f4f-7a2f0c94b41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1dacf49-0af1-4c8f-9c86-5fff5f12455c}" ma:internalName="TaxCatchAll" ma:showField="CatchAllData" ma:web="e11e25ea-9a7a-463a-9f4f-7a2f0c94b4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59c103-8b6d-4517-95dc-b706f5faf142">
      <Terms xmlns="http://schemas.microsoft.com/office/infopath/2007/PartnerControls"/>
    </lcf76f155ced4ddcb4097134ff3c332f>
    <TaxCatchAll xmlns="e11e25ea-9a7a-463a-9f4f-7a2f0c94b410" xsi:nil="true"/>
  </documentManagement>
</p:properties>
</file>

<file path=customXml/itemProps1.xml><?xml version="1.0" encoding="utf-8"?>
<ds:datastoreItem xmlns:ds="http://schemas.openxmlformats.org/officeDocument/2006/customXml" ds:itemID="{59B08734-ECFB-48CC-87B5-017DC335FD69}"/>
</file>

<file path=customXml/itemProps2.xml><?xml version="1.0" encoding="utf-8"?>
<ds:datastoreItem xmlns:ds="http://schemas.openxmlformats.org/officeDocument/2006/customXml" ds:itemID="{59DEB715-11E1-41A2-9E96-A112F527BC3A}"/>
</file>

<file path=customXml/itemProps3.xml><?xml version="1.0" encoding="utf-8"?>
<ds:datastoreItem xmlns:ds="http://schemas.openxmlformats.org/officeDocument/2006/customXml" ds:itemID="{3C4154A2-4783-4BF9-9BEB-E1B198357D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/>
  <cp:revision/>
  <dcterms:created xsi:type="dcterms:W3CDTF">2020-04-11T12:33:42Z</dcterms:created>
  <dcterms:modified xsi:type="dcterms:W3CDTF">2026-05-03T05:04:44Z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0x0101008FA155DACD00C041B61F8B3F795C4F4B</vt:lpwstr>
  </property>
  <property fmtid="{D5CDD505-2E9C-101B-9397-08002B2CF9AE}" pid="3" name="MediaServiceImageTags">
    <vt:lpwstr/>
  </property>
</Properties>
</file>